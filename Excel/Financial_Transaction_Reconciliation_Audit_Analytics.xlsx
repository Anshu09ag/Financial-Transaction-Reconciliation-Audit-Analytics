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E:\Job\Financial Transaction Reconciliation &amp; Audit Exceptions Dashboard\Financial Transaction Reconciliation Audit Analytics\Excel\"/>
    </mc:Choice>
  </mc:AlternateContent>
  <xr:revisionPtr revIDLastSave="0" documentId="13_ncr:1_{BD3547D9-59E4-4F2D-8F3E-F2CD49C8AAE5}" xr6:coauthVersionLast="47" xr6:coauthVersionMax="47" xr10:uidLastSave="{00000000-0000-0000-0000-000000000000}"/>
  <bookViews>
    <workbookView xWindow="-108" yWindow="-108" windowWidth="23256" windowHeight="12456" tabRatio="735" xr2:uid="{00000000-000D-0000-FFFF-FFFF00000000}"/>
  </bookViews>
  <sheets>
    <sheet name="Documentation" sheetId="5" r:id="rId1"/>
    <sheet name="1.Transactions" sheetId="1" r:id="rId2"/>
    <sheet name="2.SettlementLedger" sheetId="3" r:id="rId3"/>
    <sheet name="3.Approvals" sheetId="4" r:id="rId4"/>
    <sheet name="4.Data_Quality_Checks" sheetId="2" r:id="rId5"/>
    <sheet name="5.Exception_Details" sheetId="6" r:id="rId6"/>
    <sheet name="6.Excel_Summary"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7" l="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I2" i="1"/>
  <c r="O2" i="1" s="1"/>
  <c r="I3" i="1"/>
  <c r="O3" i="1" s="1"/>
  <c r="I4" i="1"/>
  <c r="O4" i="1" s="1"/>
  <c r="I5" i="1"/>
  <c r="O5" i="1" s="1"/>
  <c r="I6" i="1"/>
  <c r="O6" i="1" s="1"/>
  <c r="I7" i="1"/>
  <c r="O7" i="1" s="1"/>
  <c r="I8" i="1"/>
  <c r="I9" i="1"/>
  <c r="O9" i="1" s="1"/>
  <c r="I10" i="1"/>
  <c r="O10" i="1" s="1"/>
  <c r="I11" i="1"/>
  <c r="O11" i="1" s="1"/>
  <c r="I12" i="1"/>
  <c r="O12" i="1" s="1"/>
  <c r="I13" i="1"/>
  <c r="O13" i="1" s="1"/>
  <c r="I14" i="1"/>
  <c r="O14" i="1" s="1"/>
  <c r="I15" i="1"/>
  <c r="O15" i="1" s="1"/>
  <c r="I16" i="1"/>
  <c r="O16" i="1" s="1"/>
  <c r="I17" i="1"/>
  <c r="O17" i="1" s="1"/>
  <c r="I18" i="1"/>
  <c r="O18" i="1" s="1"/>
  <c r="I19" i="1"/>
  <c r="O19" i="1" s="1"/>
  <c r="I20" i="1"/>
  <c r="O20" i="1" s="1"/>
  <c r="I21" i="1"/>
  <c r="O21" i="1" s="1"/>
  <c r="I22" i="1"/>
  <c r="O22" i="1" s="1"/>
  <c r="I23" i="1"/>
  <c r="O23" i="1" s="1"/>
  <c r="I24" i="1"/>
  <c r="O24" i="1" s="1"/>
  <c r="I25" i="1"/>
  <c r="O25" i="1" s="1"/>
  <c r="I26" i="1"/>
  <c r="O26" i="1" s="1"/>
  <c r="I27" i="1"/>
  <c r="O27" i="1" s="1"/>
  <c r="I28" i="1"/>
  <c r="O28" i="1" s="1"/>
  <c r="I29" i="1"/>
  <c r="O29" i="1" s="1"/>
  <c r="I30" i="1"/>
  <c r="O30" i="1" s="1"/>
  <c r="I31" i="1"/>
  <c r="O31" i="1" s="1"/>
  <c r="I32" i="1"/>
  <c r="O32" i="1" s="1"/>
  <c r="I33" i="1"/>
  <c r="O33" i="1" s="1"/>
  <c r="I34" i="1"/>
  <c r="O34" i="1" s="1"/>
  <c r="I35" i="1"/>
  <c r="O35" i="1" s="1"/>
  <c r="I36" i="1"/>
  <c r="O36" i="1" s="1"/>
  <c r="I37" i="1"/>
  <c r="O37" i="1" s="1"/>
  <c r="I38" i="1"/>
  <c r="O38" i="1" s="1"/>
  <c r="I39" i="1"/>
  <c r="O39" i="1" s="1"/>
  <c r="I40" i="1"/>
  <c r="O40" i="1" s="1"/>
  <c r="I41" i="1"/>
  <c r="O41" i="1" s="1"/>
  <c r="I42" i="1"/>
  <c r="O42" i="1" s="1"/>
  <c r="I43" i="1"/>
  <c r="O43" i="1" s="1"/>
  <c r="I44" i="1"/>
  <c r="O44" i="1" s="1"/>
  <c r="I45" i="1"/>
  <c r="O45" i="1" s="1"/>
  <c r="I46" i="1"/>
  <c r="O46" i="1" s="1"/>
  <c r="I47" i="1"/>
  <c r="I48" i="1"/>
  <c r="O48" i="1" s="1"/>
  <c r="I49" i="1"/>
  <c r="O49" i="1" s="1"/>
  <c r="I50" i="1"/>
  <c r="O50" i="1" s="1"/>
  <c r="I51" i="1"/>
  <c r="O51" i="1" s="1"/>
  <c r="I52" i="1"/>
  <c r="O52" i="1" s="1"/>
  <c r="I53" i="1"/>
  <c r="O53" i="1" s="1"/>
  <c r="I54" i="1"/>
  <c r="O54" i="1" s="1"/>
  <c r="I55" i="1"/>
  <c r="O55" i="1" s="1"/>
  <c r="I56" i="1"/>
  <c r="O56" i="1" s="1"/>
  <c r="I57" i="1"/>
  <c r="O57" i="1" s="1"/>
  <c r="I58" i="1"/>
  <c r="O58" i="1" s="1"/>
  <c r="I59" i="1"/>
  <c r="O59" i="1" s="1"/>
  <c r="I60" i="1"/>
  <c r="O60" i="1" s="1"/>
  <c r="I61" i="1"/>
  <c r="O61" i="1" s="1"/>
  <c r="I62" i="1"/>
  <c r="O62" i="1" s="1"/>
  <c r="I63" i="1"/>
  <c r="O63" i="1" s="1"/>
  <c r="I64" i="1"/>
  <c r="O64" i="1" s="1"/>
  <c r="I65" i="1"/>
  <c r="O65" i="1" s="1"/>
  <c r="I66" i="1"/>
  <c r="O66" i="1" s="1"/>
  <c r="I67" i="1"/>
  <c r="O67" i="1" s="1"/>
  <c r="I68" i="1"/>
  <c r="O68" i="1" s="1"/>
  <c r="I69" i="1"/>
  <c r="O69" i="1" s="1"/>
  <c r="I70" i="1"/>
  <c r="O70" i="1" s="1"/>
  <c r="I71" i="1"/>
  <c r="O71" i="1" s="1"/>
  <c r="I72" i="1"/>
  <c r="O72" i="1" s="1"/>
  <c r="I73" i="1"/>
  <c r="O73" i="1" s="1"/>
  <c r="I74" i="1"/>
  <c r="O74" i="1" s="1"/>
  <c r="I75" i="1"/>
  <c r="O75" i="1" s="1"/>
  <c r="I76" i="1"/>
  <c r="O76" i="1" s="1"/>
  <c r="I77" i="1"/>
  <c r="O77" i="1" s="1"/>
  <c r="I78" i="1"/>
  <c r="O78" i="1" s="1"/>
  <c r="I79" i="1"/>
  <c r="O79" i="1" s="1"/>
  <c r="I80" i="1"/>
  <c r="O80" i="1" s="1"/>
  <c r="I81" i="1"/>
  <c r="O81" i="1" s="1"/>
  <c r="I82" i="1"/>
  <c r="O82" i="1" s="1"/>
  <c r="I83" i="1"/>
  <c r="O83" i="1" s="1"/>
  <c r="I84" i="1"/>
  <c r="O84" i="1" s="1"/>
  <c r="I85" i="1"/>
  <c r="O85" i="1" s="1"/>
  <c r="I86" i="1"/>
  <c r="O86" i="1" s="1"/>
  <c r="I87" i="1"/>
  <c r="O87" i="1" s="1"/>
  <c r="I88" i="1"/>
  <c r="O88" i="1" s="1"/>
  <c r="I89" i="1"/>
  <c r="O89" i="1" s="1"/>
  <c r="I90" i="1"/>
  <c r="O90" i="1" s="1"/>
  <c r="I91" i="1"/>
  <c r="O91" i="1" s="1"/>
  <c r="I92" i="1"/>
  <c r="O92" i="1" s="1"/>
  <c r="I93" i="1"/>
  <c r="O93" i="1" s="1"/>
  <c r="I94" i="1"/>
  <c r="O94" i="1" s="1"/>
  <c r="I95" i="1"/>
  <c r="O95" i="1" s="1"/>
  <c r="I96" i="1"/>
  <c r="O96" i="1" s="1"/>
  <c r="I97" i="1"/>
  <c r="O97" i="1" s="1"/>
  <c r="I98" i="1"/>
  <c r="O98" i="1" s="1"/>
  <c r="I99" i="1"/>
  <c r="O99" i="1" s="1"/>
  <c r="I100" i="1"/>
  <c r="O100" i="1" s="1"/>
  <c r="I101" i="1"/>
  <c r="O101" i="1" s="1"/>
  <c r="I102" i="1"/>
  <c r="O102" i="1" s="1"/>
  <c r="I103" i="1"/>
  <c r="O103" i="1" s="1"/>
  <c r="I104" i="1"/>
  <c r="O104" i="1" s="1"/>
  <c r="I105" i="1"/>
  <c r="O105" i="1" s="1"/>
  <c r="I106" i="1"/>
  <c r="O106" i="1" s="1"/>
  <c r="I107" i="1"/>
  <c r="O107" i="1" s="1"/>
  <c r="I108" i="1"/>
  <c r="O108" i="1" s="1"/>
  <c r="I109" i="1"/>
  <c r="O109" i="1" s="1"/>
  <c r="I110" i="1"/>
  <c r="O110" i="1" s="1"/>
  <c r="I111" i="1"/>
  <c r="O111" i="1" s="1"/>
  <c r="I112" i="1"/>
  <c r="O112" i="1" s="1"/>
  <c r="I113" i="1"/>
  <c r="O113" i="1" s="1"/>
  <c r="I114" i="1"/>
  <c r="O114" i="1" s="1"/>
  <c r="I115" i="1"/>
  <c r="O115" i="1" s="1"/>
  <c r="I116" i="1"/>
  <c r="O116" i="1" s="1"/>
  <c r="I117" i="1"/>
  <c r="O117" i="1" s="1"/>
  <c r="I118" i="1"/>
  <c r="O118" i="1" s="1"/>
  <c r="I119" i="1"/>
  <c r="O119" i="1" s="1"/>
  <c r="I120" i="1"/>
  <c r="O120" i="1" s="1"/>
  <c r="I121" i="1"/>
  <c r="O121" i="1" s="1"/>
  <c r="I122" i="1"/>
  <c r="O122" i="1" s="1"/>
  <c r="I123" i="1"/>
  <c r="O123" i="1" s="1"/>
  <c r="I124" i="1"/>
  <c r="O124" i="1" s="1"/>
  <c r="I125" i="1"/>
  <c r="O125" i="1" s="1"/>
  <c r="I126" i="1"/>
  <c r="O126" i="1" s="1"/>
  <c r="I127" i="1"/>
  <c r="O127" i="1" s="1"/>
  <c r="I128" i="1"/>
  <c r="O128" i="1" s="1"/>
  <c r="I129" i="1"/>
  <c r="O129" i="1" s="1"/>
  <c r="I130" i="1"/>
  <c r="O130" i="1" s="1"/>
  <c r="I131" i="1"/>
  <c r="O131" i="1" s="1"/>
  <c r="I132" i="1"/>
  <c r="O132" i="1" s="1"/>
  <c r="I133" i="1"/>
  <c r="O133" i="1" s="1"/>
  <c r="I134" i="1"/>
  <c r="O134" i="1" s="1"/>
  <c r="I135" i="1"/>
  <c r="O135" i="1" s="1"/>
  <c r="I136" i="1"/>
  <c r="O136" i="1" s="1"/>
  <c r="I137" i="1"/>
  <c r="O137" i="1" s="1"/>
  <c r="I138" i="1"/>
  <c r="O138" i="1" s="1"/>
  <c r="I139" i="1"/>
  <c r="O139" i="1" s="1"/>
  <c r="I140" i="1"/>
  <c r="O140" i="1" s="1"/>
  <c r="I141" i="1"/>
  <c r="O141" i="1" s="1"/>
  <c r="I142" i="1"/>
  <c r="O142" i="1" s="1"/>
  <c r="I143" i="1"/>
  <c r="O143" i="1" s="1"/>
  <c r="I144" i="1"/>
  <c r="O144" i="1" s="1"/>
  <c r="I145" i="1"/>
  <c r="O145" i="1" s="1"/>
  <c r="I146" i="1"/>
  <c r="O146" i="1" s="1"/>
  <c r="I147" i="1"/>
  <c r="O147" i="1" s="1"/>
  <c r="I148" i="1"/>
  <c r="O148" i="1" s="1"/>
  <c r="I149" i="1"/>
  <c r="O149" i="1" s="1"/>
  <c r="I150" i="1"/>
  <c r="O150" i="1" s="1"/>
  <c r="I151" i="1"/>
  <c r="O151" i="1" s="1"/>
  <c r="I152" i="1"/>
  <c r="O152" i="1" s="1"/>
  <c r="I153" i="1"/>
  <c r="O153" i="1" s="1"/>
  <c r="I154" i="1"/>
  <c r="O154" i="1" s="1"/>
  <c r="I155" i="1"/>
  <c r="O155" i="1" s="1"/>
  <c r="I156" i="1"/>
  <c r="O156" i="1" s="1"/>
  <c r="I157" i="1"/>
  <c r="O157" i="1" s="1"/>
  <c r="I158" i="1"/>
  <c r="O158" i="1" s="1"/>
  <c r="I159" i="1"/>
  <c r="O159" i="1" s="1"/>
  <c r="I160" i="1"/>
  <c r="O160" i="1" s="1"/>
  <c r="I161" i="1"/>
  <c r="O161" i="1" s="1"/>
  <c r="I162" i="1"/>
  <c r="O162" i="1" s="1"/>
  <c r="I163" i="1"/>
  <c r="O163" i="1" s="1"/>
  <c r="I164" i="1"/>
  <c r="O164" i="1" s="1"/>
  <c r="I165" i="1"/>
  <c r="O165" i="1" s="1"/>
  <c r="I166" i="1"/>
  <c r="O166" i="1" s="1"/>
  <c r="I167" i="1"/>
  <c r="O167" i="1" s="1"/>
  <c r="I168" i="1"/>
  <c r="O168" i="1" s="1"/>
  <c r="I169" i="1"/>
  <c r="O169" i="1" s="1"/>
  <c r="I170" i="1"/>
  <c r="O170" i="1" s="1"/>
  <c r="I171" i="1"/>
  <c r="O171" i="1" s="1"/>
  <c r="I172" i="1"/>
  <c r="O172" i="1" s="1"/>
  <c r="I173" i="1"/>
  <c r="O173" i="1" s="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O489" i="1" s="1"/>
  <c r="I490" i="1"/>
  <c r="O490" i="1" s="1"/>
  <c r="I491" i="1"/>
  <c r="O491" i="1" s="1"/>
  <c r="I492" i="1"/>
  <c r="O492" i="1" s="1"/>
  <c r="I493" i="1"/>
  <c r="O493" i="1" s="1"/>
  <c r="I494" i="1"/>
  <c r="O494" i="1" s="1"/>
  <c r="I495" i="1"/>
  <c r="O495" i="1" s="1"/>
  <c r="I496" i="1"/>
  <c r="O496" i="1" s="1"/>
  <c r="I497" i="1"/>
  <c r="O497" i="1" s="1"/>
  <c r="I498" i="1"/>
  <c r="O498" i="1" s="1"/>
  <c r="I499" i="1"/>
  <c r="O499" i="1" s="1"/>
  <c r="I500" i="1"/>
  <c r="O500" i="1" s="1"/>
  <c r="I501" i="1"/>
  <c r="O501" i="1" s="1"/>
  <c r="I502" i="1"/>
  <c r="E17" i="7"/>
  <c r="E18" i="7"/>
  <c r="E19" i="7"/>
  <c r="E20" i="7"/>
  <c r="E21" i="7"/>
  <c r="E16" i="7"/>
  <c r="B7" i="7"/>
  <c r="D10" i="7"/>
  <c r="D7" i="7"/>
  <c r="B10" i="7"/>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2" i="3"/>
  <c r="N6" i="1"/>
  <c r="N49" i="1"/>
  <c r="N2" i="1"/>
  <c r="N3" i="1"/>
  <c r="N4" i="1"/>
  <c r="N5"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M16" i="1"/>
  <c r="M2" i="1"/>
  <c r="M3" i="1"/>
  <c r="M4" i="1"/>
  <c r="M5" i="1"/>
  <c r="M6" i="1"/>
  <c r="M7" i="1"/>
  <c r="M8" i="1"/>
  <c r="M9" i="1"/>
  <c r="M10" i="1"/>
  <c r="M11" i="1"/>
  <c r="M12" i="1"/>
  <c r="M13" i="1"/>
  <c r="M14" i="1"/>
  <c r="M15"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L29" i="1"/>
  <c r="L2" i="1"/>
  <c r="L3" i="1"/>
  <c r="L4" i="1"/>
  <c r="L5" i="1"/>
  <c r="L6" i="1"/>
  <c r="L7" i="1"/>
  <c r="L8" i="1"/>
  <c r="L9" i="1"/>
  <c r="L10" i="1"/>
  <c r="L11" i="1"/>
  <c r="L12" i="1"/>
  <c r="L13" i="1"/>
  <c r="L14" i="1"/>
  <c r="L15" i="1"/>
  <c r="L16" i="1"/>
  <c r="L17" i="1"/>
  <c r="L18" i="1"/>
  <c r="L19" i="1"/>
  <c r="L20" i="1"/>
  <c r="L21" i="1"/>
  <c r="L22" i="1"/>
  <c r="L23" i="1"/>
  <c r="L24" i="1"/>
  <c r="L25" i="1"/>
  <c r="L26" i="1"/>
  <c r="L27" i="1"/>
  <c r="L28"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C30" i="2" a="1"/>
  <c r="C27" i="2" a="1"/>
  <c r="C24" i="2" a="1"/>
  <c r="C21" i="2" a="1"/>
  <c r="C18" i="2" a="1"/>
  <c r="C15" i="2" a="1"/>
  <c r="C11" i="2"/>
  <c r="C8" i="2"/>
  <c r="C7" i="2"/>
  <c r="C3" i="2"/>
  <c r="C6" i="2"/>
  <c r="C12" i="2"/>
  <c r="O8" i="1" l="1"/>
  <c r="C33" i="2" a="1"/>
  <c r="E22" i="7"/>
  <c r="F18" i="7"/>
  <c r="F17" i="7"/>
  <c r="F20" i="7"/>
  <c r="F21" i="7"/>
  <c r="F16" i="7"/>
  <c r="F19" i="7"/>
  <c r="F15" i="7"/>
  <c r="F22" i="7" s="1"/>
  <c r="O47" i="1"/>
  <c r="O50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<sst xmlns="http://schemas.openxmlformats.org/spreadsheetml/2006/main" count="6975" uniqueCount="2046">
  <si>
    <t>TransactionID</t>
  </si>
  <si>
    <t>TransactionDate</t>
  </si>
  <si>
    <t>Branch</t>
  </si>
  <si>
    <t>Channel</t>
  </si>
  <si>
    <t>Amount</t>
  </si>
  <si>
    <t>TransactionStatus</t>
  </si>
  <si>
    <t>ApprovalID</t>
  </si>
  <si>
    <t>CustomerRef</t>
  </si>
  <si>
    <t>TXN00001</t>
  </si>
  <si>
    <t>Delhi</t>
  </si>
  <si>
    <t>UPI</t>
  </si>
  <si>
    <t>Success</t>
  </si>
  <si>
    <t>APR00001</t>
  </si>
  <si>
    <t>CUST9935</t>
  </si>
  <si>
    <t>TXN00002</t>
  </si>
  <si>
    <t>Wallet</t>
  </si>
  <si>
    <t>APR00002</t>
  </si>
  <si>
    <t>CUST4257</t>
  </si>
  <si>
    <t>TXN00003</t>
  </si>
  <si>
    <t>Pune</t>
  </si>
  <si>
    <t>NEFT</t>
  </si>
  <si>
    <t>APR00003</t>
  </si>
  <si>
    <t>CUST1106</t>
  </si>
  <si>
    <t>TXN00004</t>
  </si>
  <si>
    <t>Mumbai</t>
  </si>
  <si>
    <t>APR00004</t>
  </si>
  <si>
    <t>CUST2584</t>
  </si>
  <si>
    <t>TXN00005</t>
  </si>
  <si>
    <t>Kolkata</t>
  </si>
  <si>
    <t>Card</t>
  </si>
  <si>
    <t>APR00005</t>
  </si>
  <si>
    <t>CUST7201</t>
  </si>
  <si>
    <t>TXN00006</t>
  </si>
  <si>
    <t>APR00006</t>
  </si>
  <si>
    <t>CUST2139</t>
  </si>
  <si>
    <t>TXN00007</t>
  </si>
  <si>
    <t>Pending</t>
  </si>
  <si>
    <t>APR00007</t>
  </si>
  <si>
    <t>CUST8428</t>
  </si>
  <si>
    <t>TXN00008</t>
  </si>
  <si>
    <t>APR00008</t>
  </si>
  <si>
    <t>CUST2169</t>
  </si>
  <si>
    <t>TXN00009</t>
  </si>
  <si>
    <t>Bengaluru</t>
  </si>
  <si>
    <t>APR00009</t>
  </si>
  <si>
    <t>CUST4598</t>
  </si>
  <si>
    <t>TXN00010</t>
  </si>
  <si>
    <t>Jaipur</t>
  </si>
  <si>
    <t>APR00010</t>
  </si>
  <si>
    <t>CUST2084</t>
  </si>
  <si>
    <t>TXN00011</t>
  </si>
  <si>
    <t>APR00011</t>
  </si>
  <si>
    <t>CUST8517</t>
  </si>
  <si>
    <t>TXN00012</t>
  </si>
  <si>
    <t>APR00012</t>
  </si>
  <si>
    <t>CUST7543</t>
  </si>
  <si>
    <t>TXN00013</t>
  </si>
  <si>
    <t>APR00013</t>
  </si>
  <si>
    <t>CUST3621</t>
  </si>
  <si>
    <t>TXN00014</t>
  </si>
  <si>
    <t>APR00014</t>
  </si>
  <si>
    <t>CUST1188</t>
  </si>
  <si>
    <t>TXN00015</t>
  </si>
  <si>
    <t>APR00015</t>
  </si>
  <si>
    <t>CUST8123</t>
  </si>
  <si>
    <t>TXN00016</t>
  </si>
  <si>
    <t>APR00016</t>
  </si>
  <si>
    <t>CUST9317</t>
  </si>
  <si>
    <t>TXN00017</t>
  </si>
  <si>
    <t>IMPS</t>
  </si>
  <si>
    <t>APR00017</t>
  </si>
  <si>
    <t>CUST3646</t>
  </si>
  <si>
    <t>TXN00018</t>
  </si>
  <si>
    <t>CUST6947</t>
  </si>
  <si>
    <t>TXN00019</t>
  </si>
  <si>
    <t>APR00019</t>
  </si>
  <si>
    <t>CUST2133</t>
  </si>
  <si>
    <t>TXN00020</t>
  </si>
  <si>
    <t>APR00020</t>
  </si>
  <si>
    <t>CUST7932</t>
  </si>
  <si>
    <t>TXN00021</t>
  </si>
  <si>
    <t>APR00021</t>
  </si>
  <si>
    <t>CUST7118</t>
  </si>
  <si>
    <t>TXN00022</t>
  </si>
  <si>
    <t>CUST4770</t>
  </si>
  <si>
    <t>TXN00023</t>
  </si>
  <si>
    <t>APR00023</t>
  </si>
  <si>
    <t>CUST6413</t>
  </si>
  <si>
    <t>TXN00024</t>
  </si>
  <si>
    <t>APR00024</t>
  </si>
  <si>
    <t>CUST8744</t>
  </si>
  <si>
    <t>TXN00025</t>
  </si>
  <si>
    <t>APR00025</t>
  </si>
  <si>
    <t>CUST7735</t>
  </si>
  <si>
    <t>TXN00026</t>
  </si>
  <si>
    <t>CUST6559</t>
  </si>
  <si>
    <t>TXN00027</t>
  </si>
  <si>
    <t>APR00027</t>
  </si>
  <si>
    <t>CUST5092</t>
  </si>
  <si>
    <t>TXN00028</t>
  </si>
  <si>
    <t>APR00028</t>
  </si>
  <si>
    <t>CUST2528</t>
  </si>
  <si>
    <t>TXN00029</t>
  </si>
  <si>
    <t>APR00029</t>
  </si>
  <si>
    <t>CUST1035</t>
  </si>
  <si>
    <t>TXN00030</t>
  </si>
  <si>
    <t>APR00030</t>
  </si>
  <si>
    <t>CUST8973</t>
  </si>
  <si>
    <t>TXN00031</t>
  </si>
  <si>
    <t>CUST6138</t>
  </si>
  <si>
    <t>TXN00032</t>
  </si>
  <si>
    <t>Failed</t>
  </si>
  <si>
    <t>CUST9320</t>
  </si>
  <si>
    <t>TXN00033</t>
  </si>
  <si>
    <t>APR00033</t>
  </si>
  <si>
    <t>CUST5033</t>
  </si>
  <si>
    <t>TXN00034</t>
  </si>
  <si>
    <t>APR00034</t>
  </si>
  <si>
    <t>CUST5272</t>
  </si>
  <si>
    <t>TXN00035</t>
  </si>
  <si>
    <t>APR00035</t>
  </si>
  <si>
    <t>CUST2188</t>
  </si>
  <si>
    <t>TXN00036</t>
  </si>
  <si>
    <t>APR00036</t>
  </si>
  <si>
    <t>CUST5345</t>
  </si>
  <si>
    <t>TXN00037</t>
  </si>
  <si>
    <t>APR00037</t>
  </si>
  <si>
    <t>CUST9900</t>
  </si>
  <si>
    <t>TXN00038</t>
  </si>
  <si>
    <t>APR00038</t>
  </si>
  <si>
    <t>CUST5905</t>
  </si>
  <si>
    <t>TXN00039</t>
  </si>
  <si>
    <t>APR00039</t>
  </si>
  <si>
    <t>CUST5616</t>
  </si>
  <si>
    <t>TXN00040</t>
  </si>
  <si>
    <t>APR00040</t>
  </si>
  <si>
    <t>CUST1832</t>
  </si>
  <si>
    <t>TXN00041</t>
  </si>
  <si>
    <t>APR00041</t>
  </si>
  <si>
    <t>CUST5291</t>
  </si>
  <si>
    <t>TXN00042</t>
  </si>
  <si>
    <t>CUST3442</t>
  </si>
  <si>
    <t>TXN00043</t>
  </si>
  <si>
    <t>CUST6974</t>
  </si>
  <si>
    <t>TXN00044</t>
  </si>
  <si>
    <t>APR00044</t>
  </si>
  <si>
    <t>CUST7658</t>
  </si>
  <si>
    <t>TXN00045</t>
  </si>
  <si>
    <t>APR00045</t>
  </si>
  <si>
    <t>CUST1406</t>
  </si>
  <si>
    <t>TXN00046</t>
  </si>
  <si>
    <t>APR00046</t>
  </si>
  <si>
    <t>CUST2771</t>
  </si>
  <si>
    <t>TXN00047</t>
  </si>
  <si>
    <t>APR00047</t>
  </si>
  <si>
    <t>CUST4728</t>
  </si>
  <si>
    <t>TXN00048</t>
  </si>
  <si>
    <t>APR00048</t>
  </si>
  <si>
    <t>CUST9346</t>
  </si>
  <si>
    <t>TXN00049</t>
  </si>
  <si>
    <t>APR00049</t>
  </si>
  <si>
    <t>CUST5349</t>
  </si>
  <si>
    <t>TXN00050</t>
  </si>
  <si>
    <t>APR00050</t>
  </si>
  <si>
    <t>CUST9379</t>
  </si>
  <si>
    <t>TXN00051</t>
  </si>
  <si>
    <t>CUST9821</t>
  </si>
  <si>
    <t>TXN00052</t>
  </si>
  <si>
    <t>APR00052</t>
  </si>
  <si>
    <t>CUST6409</t>
  </si>
  <si>
    <t>TXN00053</t>
  </si>
  <si>
    <t>APR00053</t>
  </si>
  <si>
    <t>CUST7691</t>
  </si>
  <si>
    <t>TXN00054</t>
  </si>
  <si>
    <t>APR00054</t>
  </si>
  <si>
    <t>CUST3851</t>
  </si>
  <si>
    <t>TXN00055</t>
  </si>
  <si>
    <t>APR00055</t>
  </si>
  <si>
    <t>CUST6279</t>
  </si>
  <si>
    <t>TXN00056</t>
  </si>
  <si>
    <t>APR00056</t>
  </si>
  <si>
    <t>CUST5649</t>
  </si>
  <si>
    <t>TXN00057</t>
  </si>
  <si>
    <t>APR00057</t>
  </si>
  <si>
    <t>CUST4262</t>
  </si>
  <si>
    <t>TXN00058</t>
  </si>
  <si>
    <t>APR00058</t>
  </si>
  <si>
    <t>CUST4185</t>
  </si>
  <si>
    <t>TXN00059</t>
  </si>
  <si>
    <t>APR00059</t>
  </si>
  <si>
    <t>CUST2746</t>
  </si>
  <si>
    <t>TXN00060</t>
  </si>
  <si>
    <t>APR00060</t>
  </si>
  <si>
    <t>CUST2988</t>
  </si>
  <si>
    <t>TXN00061</t>
  </si>
  <si>
    <t>APR00061</t>
  </si>
  <si>
    <t>CUST8251</t>
  </si>
  <si>
    <t>TXN00062</t>
  </si>
  <si>
    <t>APR00062</t>
  </si>
  <si>
    <t>CUST8777</t>
  </si>
  <si>
    <t>TXN00063</t>
  </si>
  <si>
    <t>APR00063</t>
  </si>
  <si>
    <t>CUST5499</t>
  </si>
  <si>
    <t>TXN00064</t>
  </si>
  <si>
    <t>APR00064</t>
  </si>
  <si>
    <t>CUST3471</t>
  </si>
  <si>
    <t>TXN00065</t>
  </si>
  <si>
    <t>APR00065</t>
  </si>
  <si>
    <t>CUST8633</t>
  </si>
  <si>
    <t>TXN00066</t>
  </si>
  <si>
    <t>APR00066</t>
  </si>
  <si>
    <t>CUST7232</t>
  </si>
  <si>
    <t>TXN00067</t>
  </si>
  <si>
    <t>APR00067</t>
  </si>
  <si>
    <t>CUST9947</t>
  </si>
  <si>
    <t>TXN00068</t>
  </si>
  <si>
    <t>APR00068</t>
  </si>
  <si>
    <t>CUST7624</t>
  </si>
  <si>
    <t>TXN00069</t>
  </si>
  <si>
    <t>APR00069</t>
  </si>
  <si>
    <t>CUST1444</t>
  </si>
  <si>
    <t>TXN00070</t>
  </si>
  <si>
    <t>APR00070</t>
  </si>
  <si>
    <t>CUST4467</t>
  </si>
  <si>
    <t>TXN00071</t>
  </si>
  <si>
    <t>APR00071</t>
  </si>
  <si>
    <t>CUST8705</t>
  </si>
  <si>
    <t>TXN00072</t>
  </si>
  <si>
    <t>APR00072</t>
  </si>
  <si>
    <t>CUST1659</t>
  </si>
  <si>
    <t>TXN00073</t>
  </si>
  <si>
    <t>APR00073</t>
  </si>
  <si>
    <t>CUST2874</t>
  </si>
  <si>
    <t>TXN00074</t>
  </si>
  <si>
    <t>APR00074</t>
  </si>
  <si>
    <t>CUST2876</t>
  </si>
  <si>
    <t>TXN00075</t>
  </si>
  <si>
    <t>APR00075</t>
  </si>
  <si>
    <t>CUST4249</t>
  </si>
  <si>
    <t>TXN00076</t>
  </si>
  <si>
    <t>APR00076</t>
  </si>
  <si>
    <t>CUST2983</t>
  </si>
  <si>
    <t>TXN00077</t>
  </si>
  <si>
    <t>APR00077</t>
  </si>
  <si>
    <t>CUST6590</t>
  </si>
  <si>
    <t>TXN00078</t>
  </si>
  <si>
    <t>APR00078</t>
  </si>
  <si>
    <t>CUST8135</t>
  </si>
  <si>
    <t>TXN00079</t>
  </si>
  <si>
    <t>APR00079</t>
  </si>
  <si>
    <t>CUST5397</t>
  </si>
  <si>
    <t>TXN00080</t>
  </si>
  <si>
    <t>APR00080</t>
  </si>
  <si>
    <t>CUST7209</t>
  </si>
  <si>
    <t>TXN00081</t>
  </si>
  <si>
    <t>APR00081</t>
  </si>
  <si>
    <t>CUST6576</t>
  </si>
  <si>
    <t>TXN00082</t>
  </si>
  <si>
    <t>APR00082</t>
  </si>
  <si>
    <t>CUST2402</t>
  </si>
  <si>
    <t>TXN00083</t>
  </si>
  <si>
    <t>APR00083</t>
  </si>
  <si>
    <t>CUST9041</t>
  </si>
  <si>
    <t>TXN00084</t>
  </si>
  <si>
    <t>APR00084</t>
  </si>
  <si>
    <t>CUST7046</t>
  </si>
  <si>
    <t>TXN00085</t>
  </si>
  <si>
    <t>APR00085</t>
  </si>
  <si>
    <t>CUST8434</t>
  </si>
  <si>
    <t>TXN00086</t>
  </si>
  <si>
    <t>APR00086</t>
  </si>
  <si>
    <t>CUST4033</t>
  </si>
  <si>
    <t>TXN00087</t>
  </si>
  <si>
    <t>APR00087</t>
  </si>
  <si>
    <t>CUST2647</t>
  </si>
  <si>
    <t>TXN00088</t>
  </si>
  <si>
    <t>APR00088</t>
  </si>
  <si>
    <t>CUST1745</t>
  </si>
  <si>
    <t>TXN00089</t>
  </si>
  <si>
    <t>APR00089</t>
  </si>
  <si>
    <t>CUST5658</t>
  </si>
  <si>
    <t>TXN00090</t>
  </si>
  <si>
    <t>APR00090</t>
  </si>
  <si>
    <t>CUST2070</t>
  </si>
  <si>
    <t>TXN00091</t>
  </si>
  <si>
    <t>APR00091</t>
  </si>
  <si>
    <t>CUST5978</t>
  </si>
  <si>
    <t>TXN00092</t>
  </si>
  <si>
    <t>APR00092</t>
  </si>
  <si>
    <t>CUST9561</t>
  </si>
  <si>
    <t>TXN00093</t>
  </si>
  <si>
    <t>APR00093</t>
  </si>
  <si>
    <t>CUST1986</t>
  </si>
  <si>
    <t>TXN00094</t>
  </si>
  <si>
    <t>APR00094</t>
  </si>
  <si>
    <t>CUST3573</t>
  </si>
  <si>
    <t>TXN00095</t>
  </si>
  <si>
    <t>APR00095</t>
  </si>
  <si>
    <t>CUST1534</t>
  </si>
  <si>
    <t>TXN00096</t>
  </si>
  <si>
    <t>APR00096</t>
  </si>
  <si>
    <t>CUST4241</t>
  </si>
  <si>
    <t>TXN00097</t>
  </si>
  <si>
    <t>CUST3718</t>
  </si>
  <si>
    <t>TXN00098</t>
  </si>
  <si>
    <t>APR00098</t>
  </si>
  <si>
    <t>CUST5982</t>
  </si>
  <si>
    <t>TXN00099</t>
  </si>
  <si>
    <t>CUST8078</t>
  </si>
  <si>
    <t>TXN00100</t>
  </si>
  <si>
    <t>APR00100</t>
  </si>
  <si>
    <t>CUST1339</t>
  </si>
  <si>
    <t>TXN00101</t>
  </si>
  <si>
    <t>APR00101</t>
  </si>
  <si>
    <t>CUST8245</t>
  </si>
  <si>
    <t>TXN00102</t>
  </si>
  <si>
    <t>APR00102</t>
  </si>
  <si>
    <t>CUST6460</t>
  </si>
  <si>
    <t>TXN00103</t>
  </si>
  <si>
    <t>APR00103</t>
  </si>
  <si>
    <t>CUST7561</t>
  </si>
  <si>
    <t>TXN00104</t>
  </si>
  <si>
    <t>APR00104</t>
  </si>
  <si>
    <t>CUST1018</t>
  </si>
  <si>
    <t>TXN00105</t>
  </si>
  <si>
    <t>APR00105</t>
  </si>
  <si>
    <t>CUST9167</t>
  </si>
  <si>
    <t>TXN00106</t>
  </si>
  <si>
    <t>APR00106</t>
  </si>
  <si>
    <t>CUST8941</t>
  </si>
  <si>
    <t>TXN00107</t>
  </si>
  <si>
    <t>APR00107</t>
  </si>
  <si>
    <t>CUST7684</t>
  </si>
  <si>
    <t>TXN00108</t>
  </si>
  <si>
    <t>APR00108</t>
  </si>
  <si>
    <t>CUST5781</t>
  </si>
  <si>
    <t>TXN00109</t>
  </si>
  <si>
    <t>APR00109</t>
  </si>
  <si>
    <t>CUST3369</t>
  </si>
  <si>
    <t>TXN00110</t>
  </si>
  <si>
    <t>APR00110</t>
  </si>
  <si>
    <t>CUST7798</t>
  </si>
  <si>
    <t>TXN00111</t>
  </si>
  <si>
    <t>APR00111</t>
  </si>
  <si>
    <t>CUST9022</t>
  </si>
  <si>
    <t>TXN00112</t>
  </si>
  <si>
    <t>APR00112</t>
  </si>
  <si>
    <t>CUST6272</t>
  </si>
  <si>
    <t>TXN00113</t>
  </si>
  <si>
    <t>APR00113</t>
  </si>
  <si>
    <t>CUST8749</t>
  </si>
  <si>
    <t>TXN00114</t>
  </si>
  <si>
    <t>APR00114</t>
  </si>
  <si>
    <t>CUST1606</t>
  </si>
  <si>
    <t>TXN00115</t>
  </si>
  <si>
    <t>APR00115</t>
  </si>
  <si>
    <t>CUST8486</t>
  </si>
  <si>
    <t>TXN00116</t>
  </si>
  <si>
    <t>APR00116</t>
  </si>
  <si>
    <t>CUST5342</t>
  </si>
  <si>
    <t>TXN00117</t>
  </si>
  <si>
    <t>APR00117</t>
  </si>
  <si>
    <t>CUST6188</t>
  </si>
  <si>
    <t>TXN00118</t>
  </si>
  <si>
    <t>CUST5708</t>
  </si>
  <si>
    <t>TXN00119</t>
  </si>
  <si>
    <t>APR00119</t>
  </si>
  <si>
    <t>CUST5906</t>
  </si>
  <si>
    <t>TXN00120</t>
  </si>
  <si>
    <t>APR00120</t>
  </si>
  <si>
    <t>CUST9702</t>
  </si>
  <si>
    <t>TXN00121</t>
  </si>
  <si>
    <t>APR00121</t>
  </si>
  <si>
    <t>CUST4945</t>
  </si>
  <si>
    <t>TXN00122</t>
  </si>
  <si>
    <t>APR00122</t>
  </si>
  <si>
    <t>CUST1153</t>
  </si>
  <si>
    <t>TXN00123</t>
  </si>
  <si>
    <t>APR00123</t>
  </si>
  <si>
    <t>CUST5901</t>
  </si>
  <si>
    <t>TXN00124</t>
  </si>
  <si>
    <t>APR00124</t>
  </si>
  <si>
    <t>CUST2747</t>
  </si>
  <si>
    <t>TXN00125</t>
  </si>
  <si>
    <t>CUST7484</t>
  </si>
  <si>
    <t>TXN00126</t>
  </si>
  <si>
    <t>APR00126</t>
  </si>
  <si>
    <t>CUST5689</t>
  </si>
  <si>
    <t>TXN00127</t>
  </si>
  <si>
    <t>APR00127</t>
  </si>
  <si>
    <t>CUST3240</t>
  </si>
  <si>
    <t>TXN00128</t>
  </si>
  <si>
    <t>APR00128</t>
  </si>
  <si>
    <t>CUST3153</t>
  </si>
  <si>
    <t>TXN00129</t>
  </si>
  <si>
    <t>APR00129</t>
  </si>
  <si>
    <t>CUST6994</t>
  </si>
  <si>
    <t>TXN00130</t>
  </si>
  <si>
    <t>APR00130</t>
  </si>
  <si>
    <t>CUST6549</t>
  </si>
  <si>
    <t>TXN00131</t>
  </si>
  <si>
    <t>APR00131</t>
  </si>
  <si>
    <t>CUST6992</t>
  </si>
  <si>
    <t>TXN00132</t>
  </si>
  <si>
    <t>APR00132</t>
  </si>
  <si>
    <t>CUST5295</t>
  </si>
  <si>
    <t>TXN00133</t>
  </si>
  <si>
    <t>APR00133</t>
  </si>
  <si>
    <t>CUST6374</t>
  </si>
  <si>
    <t>TXN00134</t>
  </si>
  <si>
    <t>APR00134</t>
  </si>
  <si>
    <t>CUST2911</t>
  </si>
  <si>
    <t>TXN00135</t>
  </si>
  <si>
    <t>APR00135</t>
  </si>
  <si>
    <t>CUST3222</t>
  </si>
  <si>
    <t>TXN00136</t>
  </si>
  <si>
    <t>APR00136</t>
  </si>
  <si>
    <t>CUST3531</t>
  </si>
  <si>
    <t>TXN00137</t>
  </si>
  <si>
    <t>APR00137</t>
  </si>
  <si>
    <t>CUST4559</t>
  </si>
  <si>
    <t>TXN00138</t>
  </si>
  <si>
    <t>APR00138</t>
  </si>
  <si>
    <t>CUST6876</t>
  </si>
  <si>
    <t>TXN00139</t>
  </si>
  <si>
    <t>APR00139</t>
  </si>
  <si>
    <t>CUST1349</t>
  </si>
  <si>
    <t>TXN00140</t>
  </si>
  <si>
    <t>CUST4394</t>
  </si>
  <si>
    <t>TXN00141</t>
  </si>
  <si>
    <t>CUST3370</t>
  </si>
  <si>
    <t>TXN00142</t>
  </si>
  <si>
    <t>CUST4898</t>
  </si>
  <si>
    <t>TXN00143</t>
  </si>
  <si>
    <t>APR00143</t>
  </si>
  <si>
    <t>CUST2041</t>
  </si>
  <si>
    <t>TXN00144</t>
  </si>
  <si>
    <t>APR00144</t>
  </si>
  <si>
    <t>CUST1710</t>
  </si>
  <si>
    <t>TXN00145</t>
  </si>
  <si>
    <t>APR00145</t>
  </si>
  <si>
    <t>CUST7984</t>
  </si>
  <si>
    <t>TXN00146</t>
  </si>
  <si>
    <t>APR00146</t>
  </si>
  <si>
    <t>CUST2076</t>
  </si>
  <si>
    <t>TXN00147</t>
  </si>
  <si>
    <t>APR00147</t>
  </si>
  <si>
    <t>CUST9692</t>
  </si>
  <si>
    <t>TXN00148</t>
  </si>
  <si>
    <t>APR00148</t>
  </si>
  <si>
    <t>CUST4522</t>
  </si>
  <si>
    <t>TXN00149</t>
  </si>
  <si>
    <t>APR00149</t>
  </si>
  <si>
    <t>CUST2557</t>
  </si>
  <si>
    <t>TXN00150</t>
  </si>
  <si>
    <t>CUST2398</t>
  </si>
  <si>
    <t>TXN00151</t>
  </si>
  <si>
    <t>CUST6400</t>
  </si>
  <si>
    <t>TXN00152</t>
  </si>
  <si>
    <t>APR00152</t>
  </si>
  <si>
    <t>CUST6119</t>
  </si>
  <si>
    <t>TXN00153</t>
  </si>
  <si>
    <t>APR00153</t>
  </si>
  <si>
    <t>CUST6736</t>
  </si>
  <si>
    <t>TXN00154</t>
  </si>
  <si>
    <t>APR00154</t>
  </si>
  <si>
    <t>CUST1430</t>
  </si>
  <si>
    <t>TXN00155</t>
  </si>
  <si>
    <t>APR00155</t>
  </si>
  <si>
    <t>CUST6062</t>
  </si>
  <si>
    <t>TXN00156</t>
  </si>
  <si>
    <t>CUST1502</t>
  </si>
  <si>
    <t>TXN00157</t>
  </si>
  <si>
    <t>APR00157</t>
  </si>
  <si>
    <t>CUST6314</t>
  </si>
  <si>
    <t>TXN00158</t>
  </si>
  <si>
    <t>APR00158</t>
  </si>
  <si>
    <t>CUST5458</t>
  </si>
  <si>
    <t>TXN00159</t>
  </si>
  <si>
    <t>APR00159</t>
  </si>
  <si>
    <t>CUST2864</t>
  </si>
  <si>
    <t>TXN00160</t>
  </si>
  <si>
    <t>APR00160</t>
  </si>
  <si>
    <t>CUST1744</t>
  </si>
  <si>
    <t>TXN00161</t>
  </si>
  <si>
    <t>APR00161</t>
  </si>
  <si>
    <t>CUST5742</t>
  </si>
  <si>
    <t>TXN00162</t>
  </si>
  <si>
    <t>APR00162</t>
  </si>
  <si>
    <t>TXN00163</t>
  </si>
  <si>
    <t>APR00163</t>
  </si>
  <si>
    <t>CUST8532</t>
  </si>
  <si>
    <t>TXN00164</t>
  </si>
  <si>
    <t>APR00164</t>
  </si>
  <si>
    <t>CUST7636</t>
  </si>
  <si>
    <t>TXN00165</t>
  </si>
  <si>
    <t>APR00165</t>
  </si>
  <si>
    <t>CUST2734</t>
  </si>
  <si>
    <t>TXN00166</t>
  </si>
  <si>
    <t>APR00166</t>
  </si>
  <si>
    <t>CUST3754</t>
  </si>
  <si>
    <t>TXN00167</t>
  </si>
  <si>
    <t>APR00167</t>
  </si>
  <si>
    <t>CUST3419</t>
  </si>
  <si>
    <t>TXN00168</t>
  </si>
  <si>
    <t>APR00168</t>
  </si>
  <si>
    <t>CUST9095</t>
  </si>
  <si>
    <t>TXN00169</t>
  </si>
  <si>
    <t>APR00169</t>
  </si>
  <si>
    <t>CUST6179</t>
  </si>
  <si>
    <t>TXN00170</t>
  </si>
  <si>
    <t>CUST9312</t>
  </si>
  <si>
    <t>TXN00171</t>
  </si>
  <si>
    <t>APR00171</t>
  </si>
  <si>
    <t>CUST2479</t>
  </si>
  <si>
    <t>TXN00172</t>
  </si>
  <si>
    <t>APR00172</t>
  </si>
  <si>
    <t>CUST4084</t>
  </si>
  <si>
    <t>TXN00173</t>
  </si>
  <si>
    <t>APR00173</t>
  </si>
  <si>
    <t>CUST6626</t>
  </si>
  <si>
    <t>TXN00174</t>
  </si>
  <si>
    <t>APR00174</t>
  </si>
  <si>
    <t>CUST9586</t>
  </si>
  <si>
    <t>TXN00175</t>
  </si>
  <si>
    <t>APR00175</t>
  </si>
  <si>
    <t>CUST1857</t>
  </si>
  <si>
    <t>TXN00176</t>
  </si>
  <si>
    <t>APR00176</t>
  </si>
  <si>
    <t>CUST3463</t>
  </si>
  <si>
    <t>TXN00177</t>
  </si>
  <si>
    <t>APR00177</t>
  </si>
  <si>
    <t>CUST2388</t>
  </si>
  <si>
    <t>TXN00178</t>
  </si>
  <si>
    <t>APR00178</t>
  </si>
  <si>
    <t>CUST7937</t>
  </si>
  <si>
    <t>TXN00179</t>
  </si>
  <si>
    <t>APR00179</t>
  </si>
  <si>
    <t>CUST8967</t>
  </si>
  <si>
    <t>TXN00180</t>
  </si>
  <si>
    <t>APR00180</t>
  </si>
  <si>
    <t>CUST9626</t>
  </si>
  <si>
    <t>TXN00181</t>
  </si>
  <si>
    <t>APR00181</t>
  </si>
  <si>
    <t>CUST3962</t>
  </si>
  <si>
    <t>TXN00182</t>
  </si>
  <si>
    <t>APR00182</t>
  </si>
  <si>
    <t>CUST4891</t>
  </si>
  <si>
    <t>TXN00183</t>
  </si>
  <si>
    <t>APR00183</t>
  </si>
  <si>
    <t>CUST8684</t>
  </si>
  <si>
    <t>TXN00184</t>
  </si>
  <si>
    <t>APR00184</t>
  </si>
  <si>
    <t>CUST9239</t>
  </si>
  <si>
    <t>TXN00185</t>
  </si>
  <si>
    <t>CUST8873</t>
  </si>
  <si>
    <t>TXN00186</t>
  </si>
  <si>
    <t>APR00186</t>
  </si>
  <si>
    <t>CUST3626</t>
  </si>
  <si>
    <t>TXN00187</t>
  </si>
  <si>
    <t>APR00187</t>
  </si>
  <si>
    <t>CUST6727</t>
  </si>
  <si>
    <t>TXN00188</t>
  </si>
  <si>
    <t>APR00188</t>
  </si>
  <si>
    <t>CUST1461</t>
  </si>
  <si>
    <t>TXN00189</t>
  </si>
  <si>
    <t>CUST8740</t>
  </si>
  <si>
    <t>TXN00190</t>
  </si>
  <si>
    <t>APR00190</t>
  </si>
  <si>
    <t>CUST1311</t>
  </si>
  <si>
    <t>TXN00191</t>
  </si>
  <si>
    <t>APR00191</t>
  </si>
  <si>
    <t>CUST5720</t>
  </si>
  <si>
    <t>TXN00192</t>
  </si>
  <si>
    <t>CUST9189</t>
  </si>
  <si>
    <t>TXN00193</t>
  </si>
  <si>
    <t>APR00193</t>
  </si>
  <si>
    <t>CUST1025</t>
  </si>
  <si>
    <t>TXN00194</t>
  </si>
  <si>
    <t>APR00194</t>
  </si>
  <si>
    <t>CUST6908</t>
  </si>
  <si>
    <t>TXN00195</t>
  </si>
  <si>
    <t>APR00195</t>
  </si>
  <si>
    <t>CUST8702</t>
  </si>
  <si>
    <t>TXN00196</t>
  </si>
  <si>
    <t>APR00196</t>
  </si>
  <si>
    <t>CUST6649</t>
  </si>
  <si>
    <t>TXN00197</t>
  </si>
  <si>
    <t>APR00197</t>
  </si>
  <si>
    <t>CUST6772</t>
  </si>
  <si>
    <t>TXN00198</t>
  </si>
  <si>
    <t>APR00198</t>
  </si>
  <si>
    <t>CUST8840</t>
  </si>
  <si>
    <t>TXN00199</t>
  </si>
  <si>
    <t>APR00199</t>
  </si>
  <si>
    <t>CUST1717</t>
  </si>
  <si>
    <t>TXN00200</t>
  </si>
  <si>
    <t>APR00200</t>
  </si>
  <si>
    <t>CUST1599</t>
  </si>
  <si>
    <t>TXN00201</t>
  </si>
  <si>
    <t>APR00201</t>
  </si>
  <si>
    <t>CUST7029</t>
  </si>
  <si>
    <t>TXN00202</t>
  </si>
  <si>
    <t>APR00202</t>
  </si>
  <si>
    <t>CUST9129</t>
  </si>
  <si>
    <t>TXN00203</t>
  </si>
  <si>
    <t>CUST3956</t>
  </si>
  <si>
    <t>TXN00204</t>
  </si>
  <si>
    <t>APR00204</t>
  </si>
  <si>
    <t>CUST7981</t>
  </si>
  <si>
    <t>TXN00205</t>
  </si>
  <si>
    <t>APR00205</t>
  </si>
  <si>
    <t>CUST5498</t>
  </si>
  <si>
    <t>TXN00206</t>
  </si>
  <si>
    <t>APR00206</t>
  </si>
  <si>
    <t>TXN00207</t>
  </si>
  <si>
    <t>CUST7001</t>
  </si>
  <si>
    <t>TXN00208</t>
  </si>
  <si>
    <t>APR00208</t>
  </si>
  <si>
    <t>CUST2259</t>
  </si>
  <si>
    <t>TXN00209</t>
  </si>
  <si>
    <t>APR00209</t>
  </si>
  <si>
    <t>CUST1424</t>
  </si>
  <si>
    <t>TXN00210</t>
  </si>
  <si>
    <t>APR00210</t>
  </si>
  <si>
    <t>CUST4515</t>
  </si>
  <si>
    <t>TXN00211</t>
  </si>
  <si>
    <t>APR00211</t>
  </si>
  <si>
    <t>CUST8406</t>
  </si>
  <si>
    <t>TXN00212</t>
  </si>
  <si>
    <t>APR00212</t>
  </si>
  <si>
    <t>CUST2063</t>
  </si>
  <si>
    <t>TXN00213</t>
  </si>
  <si>
    <t>APR00213</t>
  </si>
  <si>
    <t>CUST9335</t>
  </si>
  <si>
    <t>TXN00214</t>
  </si>
  <si>
    <t>APR00214</t>
  </si>
  <si>
    <t>CUST7044</t>
  </si>
  <si>
    <t>TXN00215</t>
  </si>
  <si>
    <t>APR00215</t>
  </si>
  <si>
    <t>CUST8842</t>
  </si>
  <si>
    <t>TXN00216</t>
  </si>
  <si>
    <t>APR00216</t>
  </si>
  <si>
    <t>CUST8372</t>
  </si>
  <si>
    <t>TXN00217</t>
  </si>
  <si>
    <t>APR00217</t>
  </si>
  <si>
    <t>CUST3114</t>
  </si>
  <si>
    <t>TXN00218</t>
  </si>
  <si>
    <t>APR00218</t>
  </si>
  <si>
    <t>CUST3653</t>
  </si>
  <si>
    <t>TXN00219</t>
  </si>
  <si>
    <t>APR00219</t>
  </si>
  <si>
    <t>CUST5105</t>
  </si>
  <si>
    <t>TXN00220</t>
  </si>
  <si>
    <t>APR00220</t>
  </si>
  <si>
    <t>CUST3762</t>
  </si>
  <si>
    <t>TXN00221</t>
  </si>
  <si>
    <t>APR00221</t>
  </si>
  <si>
    <t>CUST1674</t>
  </si>
  <si>
    <t>TXN00222</t>
  </si>
  <si>
    <t>APR00222</t>
  </si>
  <si>
    <t>CUST7825</t>
  </si>
  <si>
    <t>TXN00223</t>
  </si>
  <si>
    <t>APR00223</t>
  </si>
  <si>
    <t>CUST7653</t>
  </si>
  <si>
    <t>TXN00224</t>
  </si>
  <si>
    <t>APR00224</t>
  </si>
  <si>
    <t>CUST6573</t>
  </si>
  <si>
    <t>TXN00225</t>
  </si>
  <si>
    <t>APR00225</t>
  </si>
  <si>
    <t>CUST7070</t>
  </si>
  <si>
    <t>TXN00226</t>
  </si>
  <si>
    <t>APR00226</t>
  </si>
  <si>
    <t>CUST2586</t>
  </si>
  <si>
    <t>TXN00227</t>
  </si>
  <si>
    <t>APR00227</t>
  </si>
  <si>
    <t>CUST6123</t>
  </si>
  <si>
    <t>TXN00228</t>
  </si>
  <si>
    <t>APR00228</t>
  </si>
  <si>
    <t>CUST2475</t>
  </si>
  <si>
    <t>TXN00229</t>
  </si>
  <si>
    <t>CUST9108</t>
  </si>
  <si>
    <t>TXN00230</t>
  </si>
  <si>
    <t>APR00230</t>
  </si>
  <si>
    <t>CUST8060</t>
  </si>
  <si>
    <t>TXN00231</t>
  </si>
  <si>
    <t>APR00231</t>
  </si>
  <si>
    <t>CUST4189</t>
  </si>
  <si>
    <t>TXN00232</t>
  </si>
  <si>
    <t>APR00232</t>
  </si>
  <si>
    <t>CUST2946</t>
  </si>
  <si>
    <t>TXN00233</t>
  </si>
  <si>
    <t>APR00233</t>
  </si>
  <si>
    <t>CUST4261</t>
  </si>
  <si>
    <t>TXN00234</t>
  </si>
  <si>
    <t>APR00234</t>
  </si>
  <si>
    <t>CUST9508</t>
  </si>
  <si>
    <t>TXN00235</t>
  </si>
  <si>
    <t>APR00235</t>
  </si>
  <si>
    <t>CUST5902</t>
  </si>
  <si>
    <t>TXN00236</t>
  </si>
  <si>
    <t>APR00236</t>
  </si>
  <si>
    <t>CUST1272</t>
  </si>
  <si>
    <t>TXN00237</t>
  </si>
  <si>
    <t>APR00237</t>
  </si>
  <si>
    <t>CUST5350</t>
  </si>
  <si>
    <t>TXN00238</t>
  </si>
  <si>
    <t>APR00238</t>
  </si>
  <si>
    <t>CUST9589</t>
  </si>
  <si>
    <t>TXN00239</t>
  </si>
  <si>
    <t>CUST2800</t>
  </si>
  <si>
    <t>TXN00240</t>
  </si>
  <si>
    <t>APR00240</t>
  </si>
  <si>
    <t>CUST8726</t>
  </si>
  <si>
    <t>TXN00241</t>
  </si>
  <si>
    <t>APR00241</t>
  </si>
  <si>
    <t>CUST6140</t>
  </si>
  <si>
    <t>TXN00242</t>
  </si>
  <si>
    <t>APR00242</t>
  </si>
  <si>
    <t>CUST4150</t>
  </si>
  <si>
    <t>TXN00243</t>
  </si>
  <si>
    <t>APR00243</t>
  </si>
  <si>
    <t>CUST9011</t>
  </si>
  <si>
    <t>TXN00244</t>
  </si>
  <si>
    <t>APR00244</t>
  </si>
  <si>
    <t>CUST9899</t>
  </si>
  <si>
    <t>TXN00245</t>
  </si>
  <si>
    <t>CUST2294</t>
  </si>
  <si>
    <t>TXN00246</t>
  </si>
  <si>
    <t>APR00246</t>
  </si>
  <si>
    <t>CUST5442</t>
  </si>
  <si>
    <t>TXN00247</t>
  </si>
  <si>
    <t>APR00247</t>
  </si>
  <si>
    <t>CUST9700</t>
  </si>
  <si>
    <t>TXN00248</t>
  </si>
  <si>
    <t>APR00248</t>
  </si>
  <si>
    <t>CUST3252</t>
  </si>
  <si>
    <t>TXN00249</t>
  </si>
  <si>
    <t>APR00249</t>
  </si>
  <si>
    <t>CUST5706</t>
  </si>
  <si>
    <t>TXN00250</t>
  </si>
  <si>
    <t>APR00250</t>
  </si>
  <si>
    <t>CUST1611</t>
  </si>
  <si>
    <t>TXN00251</t>
  </si>
  <si>
    <t>APR00251</t>
  </si>
  <si>
    <t>CUST4052</t>
  </si>
  <si>
    <t>TXN00252</t>
  </si>
  <si>
    <t>APR00252</t>
  </si>
  <si>
    <t>CUST9901</t>
  </si>
  <si>
    <t>TXN00253</t>
  </si>
  <si>
    <t>APR00253</t>
  </si>
  <si>
    <t>CUST2845</t>
  </si>
  <si>
    <t>TXN00254</t>
  </si>
  <si>
    <t>APR00254</t>
  </si>
  <si>
    <t>CUST5833</t>
  </si>
  <si>
    <t>TXN00255</t>
  </si>
  <si>
    <t>APR00255</t>
  </si>
  <si>
    <t>CUST9442</t>
  </si>
  <si>
    <t>TXN00256</t>
  </si>
  <si>
    <t>APR00256</t>
  </si>
  <si>
    <t>CUST5064</t>
  </si>
  <si>
    <t>TXN00257</t>
  </si>
  <si>
    <t>APR00257</t>
  </si>
  <si>
    <t>CUST1187</t>
  </si>
  <si>
    <t>TXN00258</t>
  </si>
  <si>
    <t>APR00258</t>
  </si>
  <si>
    <t>CUST7642</t>
  </si>
  <si>
    <t>TXN00259</t>
  </si>
  <si>
    <t>APR00259</t>
  </si>
  <si>
    <t>TXN00260</t>
  </si>
  <si>
    <t>APR00260</t>
  </si>
  <si>
    <t>CUST7121</t>
  </si>
  <si>
    <t>TXN00261</t>
  </si>
  <si>
    <t>APR00261</t>
  </si>
  <si>
    <t>CUST2341</t>
  </si>
  <si>
    <t>TXN00262</t>
  </si>
  <si>
    <t>CUST9972</t>
  </si>
  <si>
    <t>TXN00263</t>
  </si>
  <si>
    <t>APR00263</t>
  </si>
  <si>
    <t>CUST4365</t>
  </si>
  <si>
    <t>TXN00264</t>
  </si>
  <si>
    <t>APR00264</t>
  </si>
  <si>
    <t>CUST7806</t>
  </si>
  <si>
    <t>TXN00265</t>
  </si>
  <si>
    <t>APR00265</t>
  </si>
  <si>
    <t>CUST1049</t>
  </si>
  <si>
    <t>TXN00266</t>
  </si>
  <si>
    <t>APR00266</t>
  </si>
  <si>
    <t>CUST2130</t>
  </si>
  <si>
    <t>TXN00267</t>
  </si>
  <si>
    <t>APR00267</t>
  </si>
  <si>
    <t>CUST7266</t>
  </si>
  <si>
    <t>TXN00268</t>
  </si>
  <si>
    <t>APR00268</t>
  </si>
  <si>
    <t>CUST6697</t>
  </si>
  <si>
    <t>TXN00269</t>
  </si>
  <si>
    <t>APR00269</t>
  </si>
  <si>
    <t>CUST5888</t>
  </si>
  <si>
    <t>TXN00270</t>
  </si>
  <si>
    <t>APR00270</t>
  </si>
  <si>
    <t>CUST3541</t>
  </si>
  <si>
    <t>TXN00271</t>
  </si>
  <si>
    <t>APR00271</t>
  </si>
  <si>
    <t>CUST1256</t>
  </si>
  <si>
    <t>TXN00272</t>
  </si>
  <si>
    <t>APR00272</t>
  </si>
  <si>
    <t>CUST1724</t>
  </si>
  <si>
    <t>TXN00273</t>
  </si>
  <si>
    <t>APR00273</t>
  </si>
  <si>
    <t>CUST5739</t>
  </si>
  <si>
    <t>TXN00274</t>
  </si>
  <si>
    <t>APR00274</t>
  </si>
  <si>
    <t>CUST3347</t>
  </si>
  <si>
    <t>TXN00275</t>
  </si>
  <si>
    <t>APR00275</t>
  </si>
  <si>
    <t>CUST3869</t>
  </si>
  <si>
    <t>TXN00276</t>
  </si>
  <si>
    <t>APR00276</t>
  </si>
  <si>
    <t>CUST6222</t>
  </si>
  <si>
    <t>TXN00277</t>
  </si>
  <si>
    <t>APR00277</t>
  </si>
  <si>
    <t>CUST4692</t>
  </si>
  <si>
    <t>TXN00278</t>
  </si>
  <si>
    <t>APR00278</t>
  </si>
  <si>
    <t>CUST7824</t>
  </si>
  <si>
    <t>TXN00279</t>
  </si>
  <si>
    <t>APR00279</t>
  </si>
  <si>
    <t>CUST7079</t>
  </si>
  <si>
    <t>TXN00280</t>
  </si>
  <si>
    <t>APR00280</t>
  </si>
  <si>
    <t>CUST2192</t>
  </si>
  <si>
    <t>TXN00281</t>
  </si>
  <si>
    <t>APR00281</t>
  </si>
  <si>
    <t>CUST6455</t>
  </si>
  <si>
    <t>TXN00282</t>
  </si>
  <si>
    <t>APR00282</t>
  </si>
  <si>
    <t>CUST8846</t>
  </si>
  <si>
    <t>TXN00283</t>
  </si>
  <si>
    <t>APR00283</t>
  </si>
  <si>
    <t>CUST5637</t>
  </si>
  <si>
    <t>TXN00284</t>
  </si>
  <si>
    <t>APR00284</t>
  </si>
  <si>
    <t>CUST8635</t>
  </si>
  <si>
    <t>TXN00285</t>
  </si>
  <si>
    <t>APR00285</t>
  </si>
  <si>
    <t>CUST1749</t>
  </si>
  <si>
    <t>TXN00286</t>
  </si>
  <si>
    <t>APR00286</t>
  </si>
  <si>
    <t>CUST7841</t>
  </si>
  <si>
    <t>TXN00287</t>
  </si>
  <si>
    <t>APR00287</t>
  </si>
  <si>
    <t>CUST6530</t>
  </si>
  <si>
    <t>TXN00288</t>
  </si>
  <si>
    <t>APR00288</t>
  </si>
  <si>
    <t>CUST6770</t>
  </si>
  <si>
    <t>TXN00289</t>
  </si>
  <si>
    <t>APR00289</t>
  </si>
  <si>
    <t>CUST2217</t>
  </si>
  <si>
    <t>TXN00290</t>
  </si>
  <si>
    <t>CUST3474</t>
  </si>
  <si>
    <t>TXN00291</t>
  </si>
  <si>
    <t>APR00291</t>
  </si>
  <si>
    <t>CUST8993</t>
  </si>
  <si>
    <t>TXN00292</t>
  </si>
  <si>
    <t>APR00292</t>
  </si>
  <si>
    <t>CUST5697</t>
  </si>
  <si>
    <t>TXN00293</t>
  </si>
  <si>
    <t>APR00293</t>
  </si>
  <si>
    <t>CUST9591</t>
  </si>
  <si>
    <t>TXN00294</t>
  </si>
  <si>
    <t>APR00294</t>
  </si>
  <si>
    <t>TXN00295</t>
  </si>
  <si>
    <t>APR00295</t>
  </si>
  <si>
    <t>CUST2320</t>
  </si>
  <si>
    <t>TXN00296</t>
  </si>
  <si>
    <t>APR00296</t>
  </si>
  <si>
    <t>CUST1919</t>
  </si>
  <si>
    <t>TXN00297</t>
  </si>
  <si>
    <t>APR00297</t>
  </si>
  <si>
    <t>CUST2562</t>
  </si>
  <si>
    <t>TXN00298</t>
  </si>
  <si>
    <t>APR00298</t>
  </si>
  <si>
    <t>CUST1762</t>
  </si>
  <si>
    <t>TXN00299</t>
  </si>
  <si>
    <t>APR00299</t>
  </si>
  <si>
    <t>CUST6152</t>
  </si>
  <si>
    <t>TXN00300</t>
  </si>
  <si>
    <t>APR00300</t>
  </si>
  <si>
    <t>CUST4939</t>
  </si>
  <si>
    <t>TXN00301</t>
  </si>
  <si>
    <t>APR00301</t>
  </si>
  <si>
    <t>CUST3292</t>
  </si>
  <si>
    <t>TXN00302</t>
  </si>
  <si>
    <t>APR00302</t>
  </si>
  <si>
    <t>CUST2245</t>
  </si>
  <si>
    <t>TXN00303</t>
  </si>
  <si>
    <t>APR00303</t>
  </si>
  <si>
    <t>CUST8381</t>
  </si>
  <si>
    <t>TXN00304</t>
  </si>
  <si>
    <t>APR00304</t>
  </si>
  <si>
    <t>CUST2404</t>
  </si>
  <si>
    <t>TXN00305</t>
  </si>
  <si>
    <t>APR00305</t>
  </si>
  <si>
    <t>CUST3527</t>
  </si>
  <si>
    <t>TXN00306</t>
  </si>
  <si>
    <t>APR00306</t>
  </si>
  <si>
    <t>CUST5419</t>
  </si>
  <si>
    <t>TXN00307</t>
  </si>
  <si>
    <t>APR00307</t>
  </si>
  <si>
    <t>TXN00308</t>
  </si>
  <si>
    <t>CUST7779</t>
  </si>
  <si>
    <t>TXN00309</t>
  </si>
  <si>
    <t>APR00309</t>
  </si>
  <si>
    <t>CUST7237</t>
  </si>
  <si>
    <t>TXN00310</t>
  </si>
  <si>
    <t>APR00310</t>
  </si>
  <si>
    <t>CUST7899</t>
  </si>
  <si>
    <t>TXN00311</t>
  </si>
  <si>
    <t>APR00311</t>
  </si>
  <si>
    <t>CUST4203</t>
  </si>
  <si>
    <t>TXN00312</t>
  </si>
  <si>
    <t>APR00312</t>
  </si>
  <si>
    <t>CUST6399</t>
  </si>
  <si>
    <t>TXN00313</t>
  </si>
  <si>
    <t>APR00313</t>
  </si>
  <si>
    <t>CUST4290</t>
  </si>
  <si>
    <t>TXN00314</t>
  </si>
  <si>
    <t>APR00314</t>
  </si>
  <si>
    <t>CUST4971</t>
  </si>
  <si>
    <t>TXN00315</t>
  </si>
  <si>
    <t>APR00315</t>
  </si>
  <si>
    <t>CUST9939</t>
  </si>
  <si>
    <t>TXN00316</t>
  </si>
  <si>
    <t>APR00316</t>
  </si>
  <si>
    <t>CUST5773</t>
  </si>
  <si>
    <t>TXN00317</t>
  </si>
  <si>
    <t>APR00317</t>
  </si>
  <si>
    <t>CUST5961</t>
  </si>
  <si>
    <t>TXN00318</t>
  </si>
  <si>
    <t>APR00318</t>
  </si>
  <si>
    <t>CUST8851</t>
  </si>
  <si>
    <t>TXN00319</t>
  </si>
  <si>
    <t>APR00319</t>
  </si>
  <si>
    <t>CUST6890</t>
  </si>
  <si>
    <t>TXN00320</t>
  </si>
  <si>
    <t>APR00320</t>
  </si>
  <si>
    <t>CUST6816</t>
  </si>
  <si>
    <t>TXN00321</t>
  </si>
  <si>
    <t>APR00321</t>
  </si>
  <si>
    <t>CUST6432</t>
  </si>
  <si>
    <t>TXN00322</t>
  </si>
  <si>
    <t>APR00322</t>
  </si>
  <si>
    <t>CUST4621</t>
  </si>
  <si>
    <t>TXN00323</t>
  </si>
  <si>
    <t>APR00323</t>
  </si>
  <si>
    <t>CUST1402</t>
  </si>
  <si>
    <t>TXN00324</t>
  </si>
  <si>
    <t>APR00324</t>
  </si>
  <si>
    <t>CUST6620</t>
  </si>
  <si>
    <t>TXN00325</t>
  </si>
  <si>
    <t>APR00325</t>
  </si>
  <si>
    <t>CUST8412</t>
  </si>
  <si>
    <t>TXN00326</t>
  </si>
  <si>
    <t>APR00326</t>
  </si>
  <si>
    <t>CUST3692</t>
  </si>
  <si>
    <t>TXN00327</t>
  </si>
  <si>
    <t>APR00327</t>
  </si>
  <si>
    <t>TXN00328</t>
  </si>
  <si>
    <t>APR00328</t>
  </si>
  <si>
    <t>CUST8365</t>
  </si>
  <si>
    <t>TXN00329</t>
  </si>
  <si>
    <t>APR00329</t>
  </si>
  <si>
    <t>CUST9796</t>
  </si>
  <si>
    <t>TXN00330</t>
  </si>
  <si>
    <t>APR00330</t>
  </si>
  <si>
    <t>CUST6134</t>
  </si>
  <si>
    <t>TXN00331</t>
  </si>
  <si>
    <t>APR00331</t>
  </si>
  <si>
    <t>CUST5873</t>
  </si>
  <si>
    <t>TXN00332</t>
  </si>
  <si>
    <t>APR00332</t>
  </si>
  <si>
    <t>CUST7116</t>
  </si>
  <si>
    <t>TXN00333</t>
  </si>
  <si>
    <t>APR00333</t>
  </si>
  <si>
    <t>TXN00334</t>
  </si>
  <si>
    <t>APR00334</t>
  </si>
  <si>
    <t>CUST5732</t>
  </si>
  <si>
    <t>TXN00335</t>
  </si>
  <si>
    <t>APR00335</t>
  </si>
  <si>
    <t>CUST4196</t>
  </si>
  <si>
    <t>TXN00336</t>
  </si>
  <si>
    <t>APR00336</t>
  </si>
  <si>
    <t>CUST8272</t>
  </si>
  <si>
    <t>TXN00337</t>
  </si>
  <si>
    <t>CUST4683</t>
  </si>
  <si>
    <t>TXN00338</t>
  </si>
  <si>
    <t>APR00338</t>
  </si>
  <si>
    <t>CUST2871</t>
  </si>
  <si>
    <t>TXN00339</t>
  </si>
  <si>
    <t>APR00339</t>
  </si>
  <si>
    <t>CUST7965</t>
  </si>
  <si>
    <t>TXN00340</t>
  </si>
  <si>
    <t>APR00340</t>
  </si>
  <si>
    <t>CUST2425</t>
  </si>
  <si>
    <t>TXN00341</t>
  </si>
  <si>
    <t>APR00341</t>
  </si>
  <si>
    <t>CUST8015</t>
  </si>
  <si>
    <t>TXN00342</t>
  </si>
  <si>
    <t>APR00342</t>
  </si>
  <si>
    <t>CUST5605</t>
  </si>
  <si>
    <t>TXN00343</t>
  </si>
  <si>
    <t>APR00343</t>
  </si>
  <si>
    <t>CUST9428</t>
  </si>
  <si>
    <t>TXN00344</t>
  </si>
  <si>
    <t>APR00344</t>
  </si>
  <si>
    <t>CUST3078</t>
  </si>
  <si>
    <t>TXN00345</t>
  </si>
  <si>
    <t>APR00345</t>
  </si>
  <si>
    <t>CUST5402</t>
  </si>
  <si>
    <t>TXN00346</t>
  </si>
  <si>
    <t>APR00346</t>
  </si>
  <si>
    <t>CUST5558</t>
  </si>
  <si>
    <t>TXN00347</t>
  </si>
  <si>
    <t>CUST2526</t>
  </si>
  <si>
    <t>TXN00348</t>
  </si>
  <si>
    <t>APR00348</t>
  </si>
  <si>
    <t>CUST8039</t>
  </si>
  <si>
    <t>TXN00349</t>
  </si>
  <si>
    <t>APR00349</t>
  </si>
  <si>
    <t>CUST8951</t>
  </si>
  <si>
    <t>TXN00350</t>
  </si>
  <si>
    <t>CUST3588</t>
  </si>
  <si>
    <t>TXN00351</t>
  </si>
  <si>
    <t>APR00351</t>
  </si>
  <si>
    <t>CUST5945</t>
  </si>
  <si>
    <t>TXN00352</t>
  </si>
  <si>
    <t>APR00352</t>
  </si>
  <si>
    <t>CUST3711</t>
  </si>
  <si>
    <t>TXN00353</t>
  </si>
  <si>
    <t>APR00353</t>
  </si>
  <si>
    <t>CUST2559</t>
  </si>
  <si>
    <t>TXN00354</t>
  </si>
  <si>
    <t>CUST6629</t>
  </si>
  <si>
    <t>TXN00355</t>
  </si>
  <si>
    <t>APR00355</t>
  </si>
  <si>
    <t>CUST2678</t>
  </si>
  <si>
    <t>TXN00356</t>
  </si>
  <si>
    <t>CUST1138</t>
  </si>
  <si>
    <t>TXN00357</t>
  </si>
  <si>
    <t>APR00357</t>
  </si>
  <si>
    <t>CUST8248</t>
  </si>
  <si>
    <t>TXN00358</t>
  </si>
  <si>
    <t>APR00358</t>
  </si>
  <si>
    <t>CUST8035</t>
  </si>
  <si>
    <t>TXN00359</t>
  </si>
  <si>
    <t>APR00359</t>
  </si>
  <si>
    <t>CUST5668</t>
  </si>
  <si>
    <t>TXN00360</t>
  </si>
  <si>
    <t>APR00360</t>
  </si>
  <si>
    <t>CUST4090</t>
  </si>
  <si>
    <t>TXN00361</t>
  </si>
  <si>
    <t>APR00361</t>
  </si>
  <si>
    <t>CUST4949</t>
  </si>
  <si>
    <t>TXN00362</t>
  </si>
  <si>
    <t>APR00362</t>
  </si>
  <si>
    <t>CUST3162</t>
  </si>
  <si>
    <t>TXN00363</t>
  </si>
  <si>
    <t>APR00363</t>
  </si>
  <si>
    <t>CUST2195</t>
  </si>
  <si>
    <t>TXN00364</t>
  </si>
  <si>
    <t>APR00364</t>
  </si>
  <si>
    <t>CUST9209</t>
  </si>
  <si>
    <t>TXN00365</t>
  </si>
  <si>
    <t>APR00365</t>
  </si>
  <si>
    <t>CUST2369</t>
  </si>
  <si>
    <t>TXN00366</t>
  </si>
  <si>
    <t>APR00366</t>
  </si>
  <si>
    <t>CUST2083</t>
  </si>
  <si>
    <t>TXN00367</t>
  </si>
  <si>
    <t>APR00367</t>
  </si>
  <si>
    <t>CUST8118</t>
  </si>
  <si>
    <t>TXN00368</t>
  </si>
  <si>
    <t>APR00368</t>
  </si>
  <si>
    <t>CUST3248</t>
  </si>
  <si>
    <t>TXN00369</t>
  </si>
  <si>
    <t>APR00369</t>
  </si>
  <si>
    <t>CUST3079</t>
  </si>
  <si>
    <t>TXN00370</t>
  </si>
  <si>
    <t>APR00370</t>
  </si>
  <si>
    <t>CUST2046</t>
  </si>
  <si>
    <t>TXN00371</t>
  </si>
  <si>
    <t>CUST3734</t>
  </si>
  <si>
    <t>TXN00372</t>
  </si>
  <si>
    <t>APR00372</t>
  </si>
  <si>
    <t>CUST9336</t>
  </si>
  <si>
    <t>TXN00373</t>
  </si>
  <si>
    <t>APR00373</t>
  </si>
  <si>
    <t>CUST3458</t>
  </si>
  <si>
    <t>TXN00374</t>
  </si>
  <si>
    <t>APR00374</t>
  </si>
  <si>
    <t>CUST5067</t>
  </si>
  <si>
    <t>TXN00375</t>
  </si>
  <si>
    <t>APR00375</t>
  </si>
  <si>
    <t>CUST1862</t>
  </si>
  <si>
    <t>TXN00376</t>
  </si>
  <si>
    <t>APR00376</t>
  </si>
  <si>
    <t>CUST5625</t>
  </si>
  <si>
    <t>TXN00377</t>
  </si>
  <si>
    <t>APR00377</t>
  </si>
  <si>
    <t>CUST5979</t>
  </si>
  <si>
    <t>TXN00378</t>
  </si>
  <si>
    <t>APR00378</t>
  </si>
  <si>
    <t>CUST5016</t>
  </si>
  <si>
    <t>TXN00379</t>
  </si>
  <si>
    <t>APR00379</t>
  </si>
  <si>
    <t>CUST1023</t>
  </si>
  <si>
    <t>TXN00380</t>
  </si>
  <si>
    <t>APR00380</t>
  </si>
  <si>
    <t>CUST7878</t>
  </si>
  <si>
    <t>TXN00381</t>
  </si>
  <si>
    <t>APR00381</t>
  </si>
  <si>
    <t>CUST7102</t>
  </si>
  <si>
    <t>TXN00382</t>
  </si>
  <si>
    <t>CUST2020</t>
  </si>
  <si>
    <t>TXN00383</t>
  </si>
  <si>
    <t>APR00383</t>
  </si>
  <si>
    <t>CUST6345</t>
  </si>
  <si>
    <t>TXN00384</t>
  </si>
  <si>
    <t>APR00384</t>
  </si>
  <si>
    <t>CUST2731</t>
  </si>
  <si>
    <t>TXN00385</t>
  </si>
  <si>
    <t>APR00385</t>
  </si>
  <si>
    <t>CUST8591</t>
  </si>
  <si>
    <t>TXN00386</t>
  </si>
  <si>
    <t>CUST6370</t>
  </si>
  <si>
    <t>TXN00387</t>
  </si>
  <si>
    <t>APR00387</t>
  </si>
  <si>
    <t>CUST5262</t>
  </si>
  <si>
    <t>TXN00388</t>
  </si>
  <si>
    <t>APR00388</t>
  </si>
  <si>
    <t>CUST2669</t>
  </si>
  <si>
    <t>TXN00389</t>
  </si>
  <si>
    <t>APR00389</t>
  </si>
  <si>
    <t>CUST7563</t>
  </si>
  <si>
    <t>TXN00390</t>
  </si>
  <si>
    <t>APR00390</t>
  </si>
  <si>
    <t>CUST2228</t>
  </si>
  <si>
    <t>TXN00391</t>
  </si>
  <si>
    <t>APR00391</t>
  </si>
  <si>
    <t>TXN00392</t>
  </si>
  <si>
    <t>APR00392</t>
  </si>
  <si>
    <t>CUST7270</t>
  </si>
  <si>
    <t>TXN00393</t>
  </si>
  <si>
    <t>APR00393</t>
  </si>
  <si>
    <t>CUST3435</t>
  </si>
  <si>
    <t>TXN00394</t>
  </si>
  <si>
    <t>APR00394</t>
  </si>
  <si>
    <t>CUST8848</t>
  </si>
  <si>
    <t>TXN00395</t>
  </si>
  <si>
    <t>APR00395</t>
  </si>
  <si>
    <t>CUST9907</t>
  </si>
  <si>
    <t>TXN00396</t>
  </si>
  <si>
    <t>APR00396</t>
  </si>
  <si>
    <t>CUST9231</t>
  </si>
  <si>
    <t>TXN00397</t>
  </si>
  <si>
    <t>APR00397</t>
  </si>
  <si>
    <t>CUST5602</t>
  </si>
  <si>
    <t>TXN00398</t>
  </si>
  <si>
    <t>APR00398</t>
  </si>
  <si>
    <t>CUST4951</t>
  </si>
  <si>
    <t>TXN00399</t>
  </si>
  <si>
    <t>APR00399</t>
  </si>
  <si>
    <t>CUST7363</t>
  </si>
  <si>
    <t>TXN00400</t>
  </si>
  <si>
    <t>APR00400</t>
  </si>
  <si>
    <t>CUST6878</t>
  </si>
  <si>
    <t>TXN00401</t>
  </si>
  <si>
    <t>APR00401</t>
  </si>
  <si>
    <t>TXN00402</t>
  </si>
  <si>
    <t>APR00402</t>
  </si>
  <si>
    <t>CUST1326</t>
  </si>
  <si>
    <t>TXN00403</t>
  </si>
  <si>
    <t>APR00403</t>
  </si>
  <si>
    <t>CUST6301</t>
  </si>
  <si>
    <t>TXN00404</t>
  </si>
  <si>
    <t>APR00404</t>
  </si>
  <si>
    <t>TXN00405</t>
  </si>
  <si>
    <t>APR00405</t>
  </si>
  <si>
    <t>CUST3580</t>
  </si>
  <si>
    <t>TXN00406</t>
  </si>
  <si>
    <t>APR00406</t>
  </si>
  <si>
    <t>CUST6846</t>
  </si>
  <si>
    <t>TXN00407</t>
  </si>
  <si>
    <t>APR00407</t>
  </si>
  <si>
    <t>CUST1029</t>
  </si>
  <si>
    <t>TXN00408</t>
  </si>
  <si>
    <t>APR00408</t>
  </si>
  <si>
    <t>CUST6213</t>
  </si>
  <si>
    <t>TXN00409</t>
  </si>
  <si>
    <t>APR00409</t>
  </si>
  <si>
    <t>CUST4899</t>
  </si>
  <si>
    <t>TXN00410</t>
  </si>
  <si>
    <t>APR00410</t>
  </si>
  <si>
    <t>TXN00411</t>
  </si>
  <si>
    <t>CUST8179</t>
  </si>
  <si>
    <t>TXN00412</t>
  </si>
  <si>
    <t>APR00412</t>
  </si>
  <si>
    <t>CUST8855</t>
  </si>
  <si>
    <t>TXN00413</t>
  </si>
  <si>
    <t>APR00413</t>
  </si>
  <si>
    <t>CUST6221</t>
  </si>
  <si>
    <t>TXN00414</t>
  </si>
  <si>
    <t>APR00414</t>
  </si>
  <si>
    <t>CUST2525</t>
  </si>
  <si>
    <t>TXN00415</t>
  </si>
  <si>
    <t>APR00415</t>
  </si>
  <si>
    <t>CUST8113</t>
  </si>
  <si>
    <t>TXN00416</t>
  </si>
  <si>
    <t>APR00416</t>
  </si>
  <si>
    <t>CUST9849</t>
  </si>
  <si>
    <t>TXN00417</t>
  </si>
  <si>
    <t>APR00417</t>
  </si>
  <si>
    <t>CUST9043</t>
  </si>
  <si>
    <t>TXN00418</t>
  </si>
  <si>
    <t>APR00418</t>
  </si>
  <si>
    <t>CUST2589</t>
  </si>
  <si>
    <t>TXN00419</t>
  </si>
  <si>
    <t>APR00419</t>
  </si>
  <si>
    <t>CUST7512</t>
  </si>
  <si>
    <t>TXN00420</t>
  </si>
  <si>
    <t>APR00420</t>
  </si>
  <si>
    <t>CUST7249</t>
  </si>
  <si>
    <t>TXN00421</t>
  </si>
  <si>
    <t>APR00421</t>
  </si>
  <si>
    <t>CUST2009</t>
  </si>
  <si>
    <t>TXN00422</t>
  </si>
  <si>
    <t>APR00422</t>
  </si>
  <si>
    <t>CUST4727</t>
  </si>
  <si>
    <t>TXN00423</t>
  </si>
  <si>
    <t>APR00423</t>
  </si>
  <si>
    <t>CUST4860</t>
  </si>
  <si>
    <t>TXN00424</t>
  </si>
  <si>
    <t>APR00424</t>
  </si>
  <si>
    <t>CUST9467</t>
  </si>
  <si>
    <t>TXN00425</t>
  </si>
  <si>
    <t>APR00425</t>
  </si>
  <si>
    <t>CUST3738</t>
  </si>
  <si>
    <t>TXN00426</t>
  </si>
  <si>
    <t>APR00426</t>
  </si>
  <si>
    <t>CUST3422</t>
  </si>
  <si>
    <t>TXN00427</t>
  </si>
  <si>
    <t>APR00427</t>
  </si>
  <si>
    <t>CUST7510</t>
  </si>
  <si>
    <t>TXN00428</t>
  </si>
  <si>
    <t>APR00428</t>
  </si>
  <si>
    <t>CUST7874</t>
  </si>
  <si>
    <t>TXN00429</t>
  </si>
  <si>
    <t>APR00429</t>
  </si>
  <si>
    <t>CUST2654</t>
  </si>
  <si>
    <t>TXN00430</t>
  </si>
  <si>
    <t>APR00430</t>
  </si>
  <si>
    <t>CUST8750</t>
  </si>
  <si>
    <t>TXN00431</t>
  </si>
  <si>
    <t>CUST6431</t>
  </si>
  <si>
    <t>TXN00432</t>
  </si>
  <si>
    <t>APR00432</t>
  </si>
  <si>
    <t>CUST5965</t>
  </si>
  <si>
    <t>TXN00433</t>
  </si>
  <si>
    <t>APR00433</t>
  </si>
  <si>
    <t>CUST8259</t>
  </si>
  <si>
    <t>TXN00434</t>
  </si>
  <si>
    <t>APR00434</t>
  </si>
  <si>
    <t>CUST7671</t>
  </si>
  <si>
    <t>TXN00435</t>
  </si>
  <si>
    <t>CUST9303</t>
  </si>
  <si>
    <t>TXN00436</t>
  </si>
  <si>
    <t>APR00436</t>
  </si>
  <si>
    <t>CUST4288</t>
  </si>
  <si>
    <t>TXN00437</t>
  </si>
  <si>
    <t>APR00437</t>
  </si>
  <si>
    <t>CUST8605</t>
  </si>
  <si>
    <t>TXN00438</t>
  </si>
  <si>
    <t>APR00438</t>
  </si>
  <si>
    <t>CUST8308</t>
  </si>
  <si>
    <t>TXN00439</t>
  </si>
  <si>
    <t>APR00439</t>
  </si>
  <si>
    <t>CUST2480</t>
  </si>
  <si>
    <t>TXN00440</t>
  </si>
  <si>
    <t>APR00440</t>
  </si>
  <si>
    <t>CUST4387</t>
  </si>
  <si>
    <t>TXN00441</t>
  </si>
  <si>
    <t>APR00441</t>
  </si>
  <si>
    <t>CUST3167</t>
  </si>
  <si>
    <t>TXN00442</t>
  </si>
  <si>
    <t>APR00442</t>
  </si>
  <si>
    <t>CUST5511</t>
  </si>
  <si>
    <t>TXN00443</t>
  </si>
  <si>
    <t>APR00443</t>
  </si>
  <si>
    <t>CUST9530</t>
  </si>
  <si>
    <t>TXN00444</t>
  </si>
  <si>
    <t>APR00444</t>
  </si>
  <si>
    <t>CUST5631</t>
  </si>
  <si>
    <t>TXN00445</t>
  </si>
  <si>
    <t>APR00445</t>
  </si>
  <si>
    <t>CUST5278</t>
  </si>
  <si>
    <t>TXN00446</t>
  </si>
  <si>
    <t>APR00446</t>
  </si>
  <si>
    <t>CUST7620</t>
  </si>
  <si>
    <t>TXN00447</t>
  </si>
  <si>
    <t>APR00447</t>
  </si>
  <si>
    <t>CUST7857</t>
  </si>
  <si>
    <t>TXN00448</t>
  </si>
  <si>
    <t>APR00448</t>
  </si>
  <si>
    <t>CUST4643</t>
  </si>
  <si>
    <t>TXN00449</t>
  </si>
  <si>
    <t>APR00449</t>
  </si>
  <si>
    <t>CUST3785</t>
  </si>
  <si>
    <t>TXN00450</t>
  </si>
  <si>
    <t>APR00450</t>
  </si>
  <si>
    <t>CUST3999</t>
  </si>
  <si>
    <t>TXN00451</t>
  </si>
  <si>
    <t>APR00451</t>
  </si>
  <si>
    <t>CUST6428</t>
  </si>
  <si>
    <t>TXN00452</t>
  </si>
  <si>
    <t>APR00452</t>
  </si>
  <si>
    <t>CUST2166</t>
  </si>
  <si>
    <t>TXN00453</t>
  </si>
  <si>
    <t>APR00453</t>
  </si>
  <si>
    <t>CUST1885</t>
  </si>
  <si>
    <t>TXN00454</t>
  </si>
  <si>
    <t>APR00454</t>
  </si>
  <si>
    <t>CUST3954</t>
  </si>
  <si>
    <t>TXN00455</t>
  </si>
  <si>
    <t>CUST5481</t>
  </si>
  <si>
    <t>TXN00456</t>
  </si>
  <si>
    <t>APR00456</t>
  </si>
  <si>
    <t>CUST8105</t>
  </si>
  <si>
    <t>TXN00457</t>
  </si>
  <si>
    <t>APR00457</t>
  </si>
  <si>
    <t>CUST7112</t>
  </si>
  <si>
    <t>TXN00458</t>
  </si>
  <si>
    <t>APR00458</t>
  </si>
  <si>
    <t>CUST5076</t>
  </si>
  <si>
    <t>TXN00459</t>
  </si>
  <si>
    <t>APR00459</t>
  </si>
  <si>
    <t>CUST3736</t>
  </si>
  <si>
    <t>TXN00460</t>
  </si>
  <si>
    <t>APR00460</t>
  </si>
  <si>
    <t>CUST6535</t>
  </si>
  <si>
    <t>TXN00461</t>
  </si>
  <si>
    <t>APR00461</t>
  </si>
  <si>
    <t>CUST3701</t>
  </si>
  <si>
    <t>TXN00462</t>
  </si>
  <si>
    <t>APR00462</t>
  </si>
  <si>
    <t>CUST3768</t>
  </si>
  <si>
    <t>TXN00463</t>
  </si>
  <si>
    <t>APR00463</t>
  </si>
  <si>
    <t>CUST1796</t>
  </si>
  <si>
    <t>TXN00464</t>
  </si>
  <si>
    <t>APR00464</t>
  </si>
  <si>
    <t>CUST7230</t>
  </si>
  <si>
    <t>TXN00465</t>
  </si>
  <si>
    <t>APR00465</t>
  </si>
  <si>
    <t>TXN00466</t>
  </si>
  <si>
    <t>APR00466</t>
  </si>
  <si>
    <t>CUST2928</t>
  </si>
  <si>
    <t>TXN00467</t>
  </si>
  <si>
    <t>APR00467</t>
  </si>
  <si>
    <t>CUST4304</t>
  </si>
  <si>
    <t>TXN00468</t>
  </si>
  <si>
    <t>APR00468</t>
  </si>
  <si>
    <t>CUST8875</t>
  </si>
  <si>
    <t>TXN00469</t>
  </si>
  <si>
    <t>APR00469</t>
  </si>
  <si>
    <t>CUST3443</t>
  </si>
  <si>
    <t>TXN00470</t>
  </si>
  <si>
    <t>APR00470</t>
  </si>
  <si>
    <t>CUST5850</t>
  </si>
  <si>
    <t>TXN00471</t>
  </si>
  <si>
    <t>APR00471</t>
  </si>
  <si>
    <t>TXN00472</t>
  </si>
  <si>
    <t>APR00472</t>
  </si>
  <si>
    <t>CUST3793</t>
  </si>
  <si>
    <t>TXN00473</t>
  </si>
  <si>
    <t>APR00473</t>
  </si>
  <si>
    <t>CUST6615</t>
  </si>
  <si>
    <t>TXN00474</t>
  </si>
  <si>
    <t>APR00474</t>
  </si>
  <si>
    <t>CUST3732</t>
  </si>
  <si>
    <t>TXN00475</t>
  </si>
  <si>
    <t>APR00475</t>
  </si>
  <si>
    <t>CUST8908</t>
  </si>
  <si>
    <t>TXN00476</t>
  </si>
  <si>
    <t>CUST3140</t>
  </si>
  <si>
    <t>TXN00477</t>
  </si>
  <si>
    <t>APR00477</t>
  </si>
  <si>
    <t>CUST6148</t>
  </si>
  <si>
    <t>TXN00478</t>
  </si>
  <si>
    <t>APR00478</t>
  </si>
  <si>
    <t>CUST6542</t>
  </si>
  <si>
    <t>TXN00479</t>
  </si>
  <si>
    <t>APR00479</t>
  </si>
  <si>
    <t>CUST7305</t>
  </si>
  <si>
    <t>TXN00480</t>
  </si>
  <si>
    <t>APR00480</t>
  </si>
  <si>
    <t>CUST3571</t>
  </si>
  <si>
    <t>TXN00481</t>
  </si>
  <si>
    <t>APR00481</t>
  </si>
  <si>
    <t>CUST6421</t>
  </si>
  <si>
    <t>TXN00482</t>
  </si>
  <si>
    <t>CUST8277</t>
  </si>
  <si>
    <t>TXN00483</t>
  </si>
  <si>
    <t>APR00483</t>
  </si>
  <si>
    <t>CUST1291</t>
  </si>
  <si>
    <t>TXN00484</t>
  </si>
  <si>
    <t>APR00484</t>
  </si>
  <si>
    <t>CUST5990</t>
  </si>
  <si>
    <t>TXN00485</t>
  </si>
  <si>
    <t>APR00485</t>
  </si>
  <si>
    <t>CUST4652</t>
  </si>
  <si>
    <t>TXN00486</t>
  </si>
  <si>
    <t>APR00486</t>
  </si>
  <si>
    <t>CUST2868</t>
  </si>
  <si>
    <t>TXN00487</t>
  </si>
  <si>
    <t>APR00487</t>
  </si>
  <si>
    <t>CUST7125</t>
  </si>
  <si>
    <t>TXN00488</t>
  </si>
  <si>
    <t>APR00488</t>
  </si>
  <si>
    <t>CUST4209</t>
  </si>
  <si>
    <t>TXN00489</t>
  </si>
  <si>
    <t>APR00489</t>
  </si>
  <si>
    <t>CUST7790</t>
  </si>
  <si>
    <t>TXN00490</t>
  </si>
  <si>
    <t>APR00490</t>
  </si>
  <si>
    <t>CUST9260</t>
  </si>
  <si>
    <t>TXN00491</t>
  </si>
  <si>
    <t>APR00491</t>
  </si>
  <si>
    <t>CUST9328</t>
  </si>
  <si>
    <t>TXN00492</t>
  </si>
  <si>
    <t>APR00492</t>
  </si>
  <si>
    <t>CUST6273</t>
  </si>
  <si>
    <t>TXN00493</t>
  </si>
  <si>
    <t>APR00493</t>
  </si>
  <si>
    <t>CUST6617</t>
  </si>
  <si>
    <t>TXN00494</t>
  </si>
  <si>
    <t>APR00494</t>
  </si>
  <si>
    <t>CUST9975</t>
  </si>
  <si>
    <t>TXN00495</t>
  </si>
  <si>
    <t>APR00495</t>
  </si>
  <si>
    <t>CUST5760</t>
  </si>
  <si>
    <t>TXN00496</t>
  </si>
  <si>
    <t>APR00496</t>
  </si>
  <si>
    <t>CUST6281</t>
  </si>
  <si>
    <t>TXN00497</t>
  </si>
  <si>
    <t>APR00497</t>
  </si>
  <si>
    <t>CUST9747</t>
  </si>
  <si>
    <t>TXN00498</t>
  </si>
  <si>
    <t>APR00498</t>
  </si>
  <si>
    <t>CUST1869</t>
  </si>
  <si>
    <t>TXN00499</t>
  </si>
  <si>
    <t>APR00499</t>
  </si>
  <si>
    <t>CUST2016</t>
  </si>
  <si>
    <t>TXN00500</t>
  </si>
  <si>
    <t>APR00500</t>
  </si>
  <si>
    <t>CUST4675</t>
  </si>
  <si>
    <t>TXN00501</t>
  </si>
  <si>
    <t xml:space="preserve">Total Transaction Records </t>
  </si>
  <si>
    <t>Transaction Status</t>
  </si>
  <si>
    <t>Count</t>
  </si>
  <si>
    <t>Missing Approval References (R2)</t>
  </si>
  <si>
    <t>Blank ApprovalID</t>
  </si>
  <si>
    <t>Percentage of transactions with a missing approval reference</t>
  </si>
  <si>
    <t>Missing Approval Records (R3)</t>
  </si>
  <si>
    <t>ApprovalID present in Transactions, but no matching record in tblApprovals</t>
  </si>
  <si>
    <t>SettlementRef</t>
  </si>
  <si>
    <t>SettlementDate</t>
  </si>
  <si>
    <t>SettledAmount</t>
  </si>
  <si>
    <t>SettlementStatus</t>
  </si>
  <si>
    <t>SET00001</t>
  </si>
  <si>
    <t>Settled</t>
  </si>
  <si>
    <t>SET00002</t>
  </si>
  <si>
    <t>SET00003</t>
  </si>
  <si>
    <t>SET00004</t>
  </si>
  <si>
    <t>SET00005</t>
  </si>
  <si>
    <t>SET00006</t>
  </si>
  <si>
    <t>SET00007</t>
  </si>
  <si>
    <t>SET00008</t>
  </si>
  <si>
    <t>SET00009</t>
  </si>
  <si>
    <t>SET00010</t>
  </si>
  <si>
    <t>SET00011</t>
  </si>
  <si>
    <t>SET00012</t>
  </si>
  <si>
    <t>SET00013</t>
  </si>
  <si>
    <t>SET00014</t>
  </si>
  <si>
    <t>SET00015</t>
  </si>
  <si>
    <t>SET00016</t>
  </si>
  <si>
    <t>SET00017</t>
  </si>
  <si>
    <t>SET00018</t>
  </si>
  <si>
    <t>SET00019</t>
  </si>
  <si>
    <t>SET00020</t>
  </si>
  <si>
    <t>SET00021</t>
  </si>
  <si>
    <t>SET00022</t>
  </si>
  <si>
    <t>SET00023</t>
  </si>
  <si>
    <t>SET00024</t>
  </si>
  <si>
    <t>SET00025</t>
  </si>
  <si>
    <t>SET00026</t>
  </si>
  <si>
    <t>SET00027</t>
  </si>
  <si>
    <t>SET00028</t>
  </si>
  <si>
    <t>SET00029</t>
  </si>
  <si>
    <t>SET00030</t>
  </si>
  <si>
    <t>SET00031</t>
  </si>
  <si>
    <t>SET00032</t>
  </si>
  <si>
    <t>SET00033</t>
  </si>
  <si>
    <t>SET00034</t>
  </si>
  <si>
    <t>SET00035</t>
  </si>
  <si>
    <t>SET00036</t>
  </si>
  <si>
    <t>SET00037</t>
  </si>
  <si>
    <t>SET00038</t>
  </si>
  <si>
    <t>SET00039</t>
  </si>
  <si>
    <t>SET00040</t>
  </si>
  <si>
    <t>SET00041</t>
  </si>
  <si>
    <t>SET00042</t>
  </si>
  <si>
    <t>SET00043</t>
  </si>
  <si>
    <t>SET00044</t>
  </si>
  <si>
    <t>SET00045</t>
  </si>
  <si>
    <t>SET00046</t>
  </si>
  <si>
    <t>SET00047</t>
  </si>
  <si>
    <t>SET00048</t>
  </si>
  <si>
    <t>SET00049</t>
  </si>
  <si>
    <t>SET00050</t>
  </si>
  <si>
    <t>SET00051</t>
  </si>
  <si>
    <t>SET00052</t>
  </si>
  <si>
    <t>SET00053</t>
  </si>
  <si>
    <t>SET00054</t>
  </si>
  <si>
    <t>SET00055</t>
  </si>
  <si>
    <t>SET00056</t>
  </si>
  <si>
    <t>SET00057</t>
  </si>
  <si>
    <t>SET00058</t>
  </si>
  <si>
    <t>SET00059</t>
  </si>
  <si>
    <t>SET00060</t>
  </si>
  <si>
    <t>SET00061</t>
  </si>
  <si>
    <t>SET00062</t>
  </si>
  <si>
    <t>SET00063</t>
  </si>
  <si>
    <t>SET00064</t>
  </si>
  <si>
    <t>SET00065</t>
  </si>
  <si>
    <t>SET00066</t>
  </si>
  <si>
    <t>SET00067</t>
  </si>
  <si>
    <t>SET00068</t>
  </si>
  <si>
    <t>SET00069</t>
  </si>
  <si>
    <t>SET00070</t>
  </si>
  <si>
    <t>SET00071</t>
  </si>
  <si>
    <t>SET00072</t>
  </si>
  <si>
    <t>SET00073</t>
  </si>
  <si>
    <t>SET00074</t>
  </si>
  <si>
    <t>SET00075</t>
  </si>
  <si>
    <t>SET00076</t>
  </si>
  <si>
    <t>SET00077</t>
  </si>
  <si>
    <t>SET00078</t>
  </si>
  <si>
    <t>SET00079</t>
  </si>
  <si>
    <t>SET00080</t>
  </si>
  <si>
    <t>SET00081</t>
  </si>
  <si>
    <t>SET00082</t>
  </si>
  <si>
    <t>SET00083</t>
  </si>
  <si>
    <t>SET00084</t>
  </si>
  <si>
    <t>SET00085</t>
  </si>
  <si>
    <t>SET00086</t>
  </si>
  <si>
    <t>SET00087</t>
  </si>
  <si>
    <t>SET00088</t>
  </si>
  <si>
    <t>SET00089</t>
  </si>
  <si>
    <t>SET00090</t>
  </si>
  <si>
    <t>SET00091</t>
  </si>
  <si>
    <t>SET00092</t>
  </si>
  <si>
    <t>SET00093</t>
  </si>
  <si>
    <t>SET00094</t>
  </si>
  <si>
    <t>SET00095</t>
  </si>
  <si>
    <t>SET00096</t>
  </si>
  <si>
    <t>SET00097</t>
  </si>
  <si>
    <t>SET00098</t>
  </si>
  <si>
    <t>SET00099</t>
  </si>
  <si>
    <t>SET00100</t>
  </si>
  <si>
    <t>SET00101</t>
  </si>
  <si>
    <t>SET00102</t>
  </si>
  <si>
    <t>SET00103</t>
  </si>
  <si>
    <t>SET00104</t>
  </si>
  <si>
    <t>SET00105</t>
  </si>
  <si>
    <t>SET00106</t>
  </si>
  <si>
    <t>SET00107</t>
  </si>
  <si>
    <t>SET00108</t>
  </si>
  <si>
    <t>SET00109</t>
  </si>
  <si>
    <t>SET00110</t>
  </si>
  <si>
    <t>SET00111</t>
  </si>
  <si>
    <t>SET00112</t>
  </si>
  <si>
    <t>SET00113</t>
  </si>
  <si>
    <t>SET00114</t>
  </si>
  <si>
    <t>SET00115</t>
  </si>
  <si>
    <t>SET00116</t>
  </si>
  <si>
    <t>SET00117</t>
  </si>
  <si>
    <t>SET00118</t>
  </si>
  <si>
    <t>SET00119</t>
  </si>
  <si>
    <t>SET00120</t>
  </si>
  <si>
    <t>SET00121</t>
  </si>
  <si>
    <t>SET00122</t>
  </si>
  <si>
    <t>SET00123</t>
  </si>
  <si>
    <t>SET00124</t>
  </si>
  <si>
    <t>SET00125</t>
  </si>
  <si>
    <t>SET00126</t>
  </si>
  <si>
    <t>SET00127</t>
  </si>
  <si>
    <t>SET00128</t>
  </si>
  <si>
    <t>SET00129</t>
  </si>
  <si>
    <t>SET00130</t>
  </si>
  <si>
    <t>SET00131</t>
  </si>
  <si>
    <t>SET00132</t>
  </si>
  <si>
    <t>SET00133</t>
  </si>
  <si>
    <t>SET00134</t>
  </si>
  <si>
    <t>SET00135</t>
  </si>
  <si>
    <t>SET00136</t>
  </si>
  <si>
    <t>SET00137</t>
  </si>
  <si>
    <t>SET00138</t>
  </si>
  <si>
    <t>SET00139</t>
  </si>
  <si>
    <t>SET00140</t>
  </si>
  <si>
    <t>SET00141</t>
  </si>
  <si>
    <t>SET00142</t>
  </si>
  <si>
    <t>SET00143</t>
  </si>
  <si>
    <t>SET00144</t>
  </si>
  <si>
    <t>SET00145</t>
  </si>
  <si>
    <t>SET00146</t>
  </si>
  <si>
    <t>SET00147</t>
  </si>
  <si>
    <t>SET00148</t>
  </si>
  <si>
    <t>SET00149</t>
  </si>
  <si>
    <t>SET00150</t>
  </si>
  <si>
    <t>SET00151</t>
  </si>
  <si>
    <t>SET00152</t>
  </si>
  <si>
    <t>SET00153</t>
  </si>
  <si>
    <t>SET00154</t>
  </si>
  <si>
    <t>SET00155</t>
  </si>
  <si>
    <t>SET00156</t>
  </si>
  <si>
    <t>SET00157</t>
  </si>
  <si>
    <t>SET00158</t>
  </si>
  <si>
    <t>SET00159</t>
  </si>
  <si>
    <t>SET00160</t>
  </si>
  <si>
    <t>SET00161</t>
  </si>
  <si>
    <t>SET00162</t>
  </si>
  <si>
    <t>SET00163</t>
  </si>
  <si>
    <t>SET00164</t>
  </si>
  <si>
    <t>SET00165</t>
  </si>
  <si>
    <t>SET00166</t>
  </si>
  <si>
    <t>SET00167</t>
  </si>
  <si>
    <t>SET00168</t>
  </si>
  <si>
    <t>SET00169</t>
  </si>
  <si>
    <t>SET00170</t>
  </si>
  <si>
    <t>SET00171</t>
  </si>
  <si>
    <t>SET00172</t>
  </si>
  <si>
    <t>SET00173</t>
  </si>
  <si>
    <t>SET00174</t>
  </si>
  <si>
    <t>SET00175</t>
  </si>
  <si>
    <t>SET00176</t>
  </si>
  <si>
    <t>SET00177</t>
  </si>
  <si>
    <t>SET00178</t>
  </si>
  <si>
    <t>SET00179</t>
  </si>
  <si>
    <t>SET00180</t>
  </si>
  <si>
    <t>SET00181</t>
  </si>
  <si>
    <t>SET00182</t>
  </si>
  <si>
    <t>SET00183</t>
  </si>
  <si>
    <t>SET00184</t>
  </si>
  <si>
    <t>SET00185</t>
  </si>
  <si>
    <t>SET00186</t>
  </si>
  <si>
    <t>SET00187</t>
  </si>
  <si>
    <t>SET00188</t>
  </si>
  <si>
    <t>SET00189</t>
  </si>
  <si>
    <t>SET00190</t>
  </si>
  <si>
    <t>SET00191</t>
  </si>
  <si>
    <t>SET00192</t>
  </si>
  <si>
    <t>SET00193</t>
  </si>
  <si>
    <t>SET00194</t>
  </si>
  <si>
    <t>SET00195</t>
  </si>
  <si>
    <t>SET00196</t>
  </si>
  <si>
    <t>SET00197</t>
  </si>
  <si>
    <t>SET00198</t>
  </si>
  <si>
    <t>SET00199</t>
  </si>
  <si>
    <t>SET00200</t>
  </si>
  <si>
    <t>SET00201</t>
  </si>
  <si>
    <t>SET00202</t>
  </si>
  <si>
    <t>SET00203</t>
  </si>
  <si>
    <t>SET00204</t>
  </si>
  <si>
    <t>SET00205</t>
  </si>
  <si>
    <t>SET00206</t>
  </si>
  <si>
    <t>SET00207</t>
  </si>
  <si>
    <t>SET00208</t>
  </si>
  <si>
    <t>SET00209</t>
  </si>
  <si>
    <t>SET00210</t>
  </si>
  <si>
    <t>SET00211</t>
  </si>
  <si>
    <t>SET00212</t>
  </si>
  <si>
    <t>SET00213</t>
  </si>
  <si>
    <t>SET00214</t>
  </si>
  <si>
    <t>SET00215</t>
  </si>
  <si>
    <t>SET00216</t>
  </si>
  <si>
    <t>SET00217</t>
  </si>
  <si>
    <t>SET00218</t>
  </si>
  <si>
    <t>SET00219</t>
  </si>
  <si>
    <t>SET00220</t>
  </si>
  <si>
    <t>SET00221</t>
  </si>
  <si>
    <t>SET00222</t>
  </si>
  <si>
    <t>SET00223</t>
  </si>
  <si>
    <t>SET00224</t>
  </si>
  <si>
    <t>SET00225</t>
  </si>
  <si>
    <t>SET00226</t>
  </si>
  <si>
    <t>SET00227</t>
  </si>
  <si>
    <t>SET00228</t>
  </si>
  <si>
    <t>SET00229</t>
  </si>
  <si>
    <t>SET00230</t>
  </si>
  <si>
    <t>SET00231</t>
  </si>
  <si>
    <t>SET00232</t>
  </si>
  <si>
    <t>SET00233</t>
  </si>
  <si>
    <t>SET00234</t>
  </si>
  <si>
    <t>SET00235</t>
  </si>
  <si>
    <t>SET00236</t>
  </si>
  <si>
    <t>SET00237</t>
  </si>
  <si>
    <t>SET00238</t>
  </si>
  <si>
    <t>SET00239</t>
  </si>
  <si>
    <t>SET00240</t>
  </si>
  <si>
    <t>SET00241</t>
  </si>
  <si>
    <t>SET00242</t>
  </si>
  <si>
    <t>SET00243</t>
  </si>
  <si>
    <t>SET00244</t>
  </si>
  <si>
    <t>SET00245</t>
  </si>
  <si>
    <t>SET00246</t>
  </si>
  <si>
    <t>SET00247</t>
  </si>
  <si>
    <t>SET00248</t>
  </si>
  <si>
    <t>SET00249</t>
  </si>
  <si>
    <t>SET00250</t>
  </si>
  <si>
    <t>SET00251</t>
  </si>
  <si>
    <t>SET00252</t>
  </si>
  <si>
    <t>SET00253</t>
  </si>
  <si>
    <t>SET00254</t>
  </si>
  <si>
    <t>SET00255</t>
  </si>
  <si>
    <t>SET00256</t>
  </si>
  <si>
    <t>SET00257</t>
  </si>
  <si>
    <t>SET00258</t>
  </si>
  <si>
    <t>SET00259</t>
  </si>
  <si>
    <t>SET00260</t>
  </si>
  <si>
    <t>SET00261</t>
  </si>
  <si>
    <t>SET00262</t>
  </si>
  <si>
    <t>SET00263</t>
  </si>
  <si>
    <t>SET00264</t>
  </si>
  <si>
    <t>SET00265</t>
  </si>
  <si>
    <t>SET00266</t>
  </si>
  <si>
    <t>SET00267</t>
  </si>
  <si>
    <t>SET00268</t>
  </si>
  <si>
    <t>SET00269</t>
  </si>
  <si>
    <t>SET00270</t>
  </si>
  <si>
    <t>SET00271</t>
  </si>
  <si>
    <t>SET00272</t>
  </si>
  <si>
    <t>SET00273</t>
  </si>
  <si>
    <t>SET00274</t>
  </si>
  <si>
    <t>SET00275</t>
  </si>
  <si>
    <t>SET00276</t>
  </si>
  <si>
    <t>SET00277</t>
  </si>
  <si>
    <t>SET00278</t>
  </si>
  <si>
    <t>SET00279</t>
  </si>
  <si>
    <t>SET00280</t>
  </si>
  <si>
    <t>SET00281</t>
  </si>
  <si>
    <t>SET00282</t>
  </si>
  <si>
    <t>SET00283</t>
  </si>
  <si>
    <t>SET00284</t>
  </si>
  <si>
    <t>SET00285</t>
  </si>
  <si>
    <t>SET00286</t>
  </si>
  <si>
    <t>SET00287</t>
  </si>
  <si>
    <t>SET00288</t>
  </si>
  <si>
    <t>SET00289</t>
  </si>
  <si>
    <t>SET00290</t>
  </si>
  <si>
    <t>SET00291</t>
  </si>
  <si>
    <t>SET00292</t>
  </si>
  <si>
    <t>SET00293</t>
  </si>
  <si>
    <t>SET00294</t>
  </si>
  <si>
    <t>SET00295</t>
  </si>
  <si>
    <t>SET00296</t>
  </si>
  <si>
    <t>SET00297</t>
  </si>
  <si>
    <t>SET00298</t>
  </si>
  <si>
    <t>SET00299</t>
  </si>
  <si>
    <t>SET00300</t>
  </si>
  <si>
    <t>SET00301</t>
  </si>
  <si>
    <t>SET00302</t>
  </si>
  <si>
    <t>SET00303</t>
  </si>
  <si>
    <t>SET00304</t>
  </si>
  <si>
    <t>SET00305</t>
  </si>
  <si>
    <t>SET00306</t>
  </si>
  <si>
    <t>SET00307</t>
  </si>
  <si>
    <t>SET00308</t>
  </si>
  <si>
    <t>SET00309</t>
  </si>
  <si>
    <t>SET00310</t>
  </si>
  <si>
    <t>SET00311</t>
  </si>
  <si>
    <t>SET00312</t>
  </si>
  <si>
    <t>SET00313</t>
  </si>
  <si>
    <t>SET00314</t>
  </si>
  <si>
    <t>SET00315</t>
  </si>
  <si>
    <t>SET00316</t>
  </si>
  <si>
    <t>SET00317</t>
  </si>
  <si>
    <t>SET00318</t>
  </si>
  <si>
    <t>SET00319</t>
  </si>
  <si>
    <t>SET00320</t>
  </si>
  <si>
    <t>SET00321</t>
  </si>
  <si>
    <t>SET00322</t>
  </si>
  <si>
    <t>SET00323</t>
  </si>
  <si>
    <t>SET00324</t>
  </si>
  <si>
    <t>SET00325</t>
  </si>
  <si>
    <t>SET00326</t>
  </si>
  <si>
    <t>SET00327</t>
  </si>
  <si>
    <t>SET00328</t>
  </si>
  <si>
    <t>SET00329</t>
  </si>
  <si>
    <t>SET00330</t>
  </si>
  <si>
    <t>SET00331</t>
  </si>
  <si>
    <t>SET00332</t>
  </si>
  <si>
    <t>SET00333</t>
  </si>
  <si>
    <t>SET00334</t>
  </si>
  <si>
    <t>SET00335</t>
  </si>
  <si>
    <t>SET00336</t>
  </si>
  <si>
    <t>SET00337</t>
  </si>
  <si>
    <t>SET00338</t>
  </si>
  <si>
    <t>SET00339</t>
  </si>
  <si>
    <t>SET00340</t>
  </si>
  <si>
    <t>SET00341</t>
  </si>
  <si>
    <t>SET00342</t>
  </si>
  <si>
    <t>SET00343</t>
  </si>
  <si>
    <t>SET00344</t>
  </si>
  <si>
    <t>SET00345</t>
  </si>
  <si>
    <t>SET00346</t>
  </si>
  <si>
    <t>SET00347</t>
  </si>
  <si>
    <t>SET00348</t>
  </si>
  <si>
    <t>SET00349</t>
  </si>
  <si>
    <t>SET00350</t>
  </si>
  <si>
    <t>SET00351</t>
  </si>
  <si>
    <t>SET00352</t>
  </si>
  <si>
    <t>SET00353</t>
  </si>
  <si>
    <t>SET00354</t>
  </si>
  <si>
    <t>SET00355</t>
  </si>
  <si>
    <t>SET00356</t>
  </si>
  <si>
    <t>SET00357</t>
  </si>
  <si>
    <t>SET00358</t>
  </si>
  <si>
    <t>SET00359</t>
  </si>
  <si>
    <t>SET00360</t>
  </si>
  <si>
    <t>SET00361</t>
  </si>
  <si>
    <t>SET00362</t>
  </si>
  <si>
    <t>SET00363</t>
  </si>
  <si>
    <t>SET00364</t>
  </si>
  <si>
    <t>SET00365</t>
  </si>
  <si>
    <t>SET00366</t>
  </si>
  <si>
    <t>SET00367</t>
  </si>
  <si>
    <t>SET00368</t>
  </si>
  <si>
    <t>SET00369</t>
  </si>
  <si>
    <t>SET00370</t>
  </si>
  <si>
    <t>SET00371</t>
  </si>
  <si>
    <t>SET00372</t>
  </si>
  <si>
    <t>SET00373</t>
  </si>
  <si>
    <t>SET00374</t>
  </si>
  <si>
    <t>SET00375</t>
  </si>
  <si>
    <t>SET00376</t>
  </si>
  <si>
    <t>SET00377</t>
  </si>
  <si>
    <t>SET00378</t>
  </si>
  <si>
    <t>SET00379</t>
  </si>
  <si>
    <t>SET00380</t>
  </si>
  <si>
    <t>SET00381</t>
  </si>
  <si>
    <t>SET00382</t>
  </si>
  <si>
    <t>SET00383</t>
  </si>
  <si>
    <t>SET00384</t>
  </si>
  <si>
    <t>SET00385</t>
  </si>
  <si>
    <t>SET00386</t>
  </si>
  <si>
    <t>SET00387</t>
  </si>
  <si>
    <t>SET00388</t>
  </si>
  <si>
    <t>SET00389</t>
  </si>
  <si>
    <t>SET00390</t>
  </si>
  <si>
    <t>SET00391</t>
  </si>
  <si>
    <t>SET00392</t>
  </si>
  <si>
    <t>SET00393</t>
  </si>
  <si>
    <t>SET00394</t>
  </si>
  <si>
    <t>SET00395</t>
  </si>
  <si>
    <t>SET00396</t>
  </si>
  <si>
    <t>SET00397</t>
  </si>
  <si>
    <t>SET00398</t>
  </si>
  <si>
    <t>SET00399</t>
  </si>
  <si>
    <t>SET00400</t>
  </si>
  <si>
    <t>SET00401</t>
  </si>
  <si>
    <t>SET00402</t>
  </si>
  <si>
    <t>SET00403</t>
  </si>
  <si>
    <t>SET00404</t>
  </si>
  <si>
    <t>SET00405</t>
  </si>
  <si>
    <t>SET00406</t>
  </si>
  <si>
    <t>SET00407</t>
  </si>
  <si>
    <t>SET00408</t>
  </si>
  <si>
    <t>SET00409</t>
  </si>
  <si>
    <t>SET00410</t>
  </si>
  <si>
    <t>SET00411</t>
  </si>
  <si>
    <t>SET00412</t>
  </si>
  <si>
    <t>SET00413</t>
  </si>
  <si>
    <t>SET00414</t>
  </si>
  <si>
    <t>SET00415</t>
  </si>
  <si>
    <t>SET00416</t>
  </si>
  <si>
    <t>SET00417</t>
  </si>
  <si>
    <t>SET00418</t>
  </si>
  <si>
    <t>SET00419</t>
  </si>
  <si>
    <t>SET00420</t>
  </si>
  <si>
    <t>SET00421</t>
  </si>
  <si>
    <t>TXN90001</t>
  </si>
  <si>
    <t>SET00422</t>
  </si>
  <si>
    <t>TXN90002</t>
  </si>
  <si>
    <t>SET00423</t>
  </si>
  <si>
    <t>TXN90003</t>
  </si>
  <si>
    <t>SET00424</t>
  </si>
  <si>
    <t>TXN90004</t>
  </si>
  <si>
    <t>SET00425</t>
  </si>
  <si>
    <t>TXN90005</t>
  </si>
  <si>
    <t>ApproverRole</t>
  </si>
  <si>
    <t>ApprovalStatus</t>
  </si>
  <si>
    <t>ApprovalDate</t>
  </si>
  <si>
    <t>Finance Reviewer</t>
  </si>
  <si>
    <t>Approved</t>
  </si>
  <si>
    <t>Operations Lead</t>
  </si>
  <si>
    <t>Branch Manager</t>
  </si>
  <si>
    <t>Rejected</t>
  </si>
  <si>
    <t>Successful Transactions Not Settled (R5)</t>
  </si>
  <si>
    <t>Success Transactions with no Settlement record in SettlementLedger</t>
  </si>
  <si>
    <t>Approval Not Approved (R4)</t>
  </si>
  <si>
    <t>Settlement Amount Mismatch (R6)</t>
  </si>
  <si>
    <t>Transaction Amount differs from Settled Amount</t>
  </si>
  <si>
    <t>Settlement TransactionID Occurrence Check</t>
  </si>
  <si>
    <t>TransactionIDs appearing more than once</t>
  </si>
  <si>
    <t>Settlement TransactionID not found in Transactions</t>
  </si>
  <si>
    <t>Check</t>
  </si>
  <si>
    <t>Result</t>
  </si>
  <si>
    <t>Total transaction records</t>
  </si>
  <si>
    <t>Successful transactions</t>
  </si>
  <si>
    <t>Failed transactions</t>
  </si>
  <si>
    <t>Pending transactions</t>
  </si>
  <si>
    <t>R2 — Missing approval reference</t>
  </si>
  <si>
    <t>R3 — Missing/mismatched approval record</t>
  </si>
  <si>
    <t>R4 — Approval not approved</t>
  </si>
  <si>
    <t>R5 — Successful transaction not settled</t>
  </si>
  <si>
    <t>R6 — Settlement amount mismatch</t>
  </si>
  <si>
    <t>Duplicate TransactionIDs in SettlementLedger</t>
  </si>
  <si>
    <t>R7 — Orphan settlement records</t>
  </si>
  <si>
    <t>Overview of Data Quality Checks</t>
  </si>
  <si>
    <t>Possible Duplicate Activity (R1)</t>
  </si>
  <si>
    <t>Section 1 — Workbook Purpose</t>
  </si>
  <si>
    <t>Item</t>
  </si>
  <si>
    <t>Description</t>
  </si>
  <si>
    <t>Workbook purpose</t>
  </si>
  <si>
    <t>This workbook demonstrates spreadsheet-based financial transaction reconciliation and audit exception analysis using a synthetic dataset.</t>
  </si>
  <si>
    <t xml:space="preserve">Project Objective </t>
  </si>
  <si>
    <t xml:space="preserve">Data Source </t>
  </si>
  <si>
    <t>Synthetic data created for learning and portfolio demonstration.The records do not represent actual customer transactions or confidential company data.</t>
  </si>
  <si>
    <t>Primary Transaction Data</t>
  </si>
  <si>
    <t>Approval Reference Data</t>
  </si>
  <si>
    <t>Settlement Reference Data</t>
  </si>
  <si>
    <t>Data Quality Analysis</t>
  </si>
  <si>
    <t>Identifies transaction records with a blank ApprovalID.</t>
  </si>
  <si>
    <t>Identifies nonblank approval references for which no record matches both TransactionID and ApprovalID.</t>
  </si>
  <si>
    <t>Identifies matching approval records with a status other than Approved.</t>
  </si>
  <si>
    <t>Identifies successful transactions with no matching TransactionID in SettlementLedger.</t>
  </si>
  <si>
    <t>Identifies matched transactions where Amount differs from SettledAmount.</t>
  </si>
  <si>
    <t>Identifies settlement records whose TransactionID does not exist in Transactions.</t>
  </si>
  <si>
    <t>Checks whether a nonblank TransactionID appears more than once in SettlementLedger.</t>
  </si>
  <si>
    <t xml:space="preserve">Description </t>
  </si>
  <si>
    <t>The total number of transactions recorded.</t>
  </si>
  <si>
    <t>The total number of successful transactions recorded.</t>
  </si>
  <si>
    <t>The total number of failed transactions recorded.</t>
  </si>
  <si>
    <t>The total number of pending transactions recorded.</t>
  </si>
  <si>
    <t>Section 6 — Interpretation and Limitations</t>
  </si>
  <si>
    <t xml:space="preserve">
a) The dataset is synthetic and is used solely for educational and portfolio purposes.
b)  Exceptions are indicators for investigation, not proof of fraud, misconduct, or financial loss.
c)  One transaction may trigger more than one exception rule ; therefore, exception counts should not be added together to calculate unique affected transactions.
d) The checks are based on the defined rules and available fields. They do not replace a complete audit, independent evidence verification, or management review.
e) The workbook demonstrates Excel-based data-quality checking and reconciliation concepts and can serve as a foundation for further SQL analysis and Power BI reporting.</t>
  </si>
  <si>
    <t>Section 2 — 1.Transactions</t>
  </si>
  <si>
    <t>Section 3 — 2.SettlementLedger</t>
  </si>
  <si>
    <t>Section 4 — 3.Approvals</t>
  </si>
  <si>
    <t>Section 5 — 4.Data_Quality_Checks</t>
  </si>
  <si>
    <t>Financial Transaction Reconciliation - Exception Details</t>
  </si>
  <si>
    <t>RuleID</t>
  </si>
  <si>
    <t>ExceptionType</t>
  </si>
  <si>
    <t>ReviewStatus</t>
  </si>
  <si>
    <t>ReviewNotes</t>
  </si>
  <si>
    <t>Exception Type</t>
  </si>
  <si>
    <t>Rule ID</t>
  </si>
  <si>
    <t>Transaction ID</t>
  </si>
  <si>
    <t>R2</t>
  </si>
  <si>
    <t xml:space="preserve">Missing Approval Reference </t>
  </si>
  <si>
    <t>R3</t>
  </si>
  <si>
    <t>R4</t>
  </si>
  <si>
    <t>R5</t>
  </si>
  <si>
    <t>R6</t>
  </si>
  <si>
    <t>R7</t>
  </si>
  <si>
    <t>Pending Review</t>
  </si>
  <si>
    <t>ApprovalID is blank in the transaction record. Investigate the missing approval reference and verify supporting approval evidence.</t>
  </si>
  <si>
    <t>Missing or Mismatched Approval Record</t>
  </si>
  <si>
    <t>Transaction has an ApprovalID, but no matching record was found in the Approvals table for both TransactionID and ApprovalID.Investigate the discrepancy.</t>
  </si>
  <si>
    <t>Approval Not Approved</t>
  </si>
  <si>
    <t>Matching approval record exists, but ApprovalStatus is not Approved.Verify the approval status and investigate whether the transaction was appropriately authorised.</t>
  </si>
  <si>
    <t>Successful Transaction Not Settled</t>
  </si>
  <si>
    <t>Transaction is marked Success, but no matching TransactionID was found in the SettlementLedger. Investigate settlement status and supporting records.</t>
  </si>
  <si>
    <t>Settlement Amount Mismatch</t>
  </si>
  <si>
    <t>Transaction amount differs from the settled amount recorded in the SettlementLedger. Investigate the discrepancy and verify supporting settlement records.</t>
  </si>
  <si>
    <t>R7_Exception</t>
  </si>
  <si>
    <t>R2_Exception</t>
  </si>
  <si>
    <t>R3_Exception</t>
  </si>
  <si>
    <t>R4_Exception</t>
  </si>
  <si>
    <t>R5_Exception</t>
  </si>
  <si>
    <t>R6_Exception</t>
  </si>
  <si>
    <t>Orphan Settlement Records (R7)</t>
  </si>
  <si>
    <t>Orphan Settlement</t>
  </si>
  <si>
    <t>Settlement record has a TransactionID that does not exist in Transactions table. The value in the Amount column represents SettledAmount from the SettlementLedger, not the original transaction amount. Investigate the orphan settlement and verify the source records.</t>
  </si>
  <si>
    <t>Amount / SettledAmount</t>
  </si>
  <si>
    <t>Financial Transaction Reconciliation &amp; Audit Analytics</t>
  </si>
  <si>
    <t>Excel Summary — Transaction Controls and Exceptions</t>
  </si>
  <si>
    <t>Total Transactions</t>
  </si>
  <si>
    <t>Successful Transactions</t>
  </si>
  <si>
    <t>Exception Records</t>
  </si>
  <si>
    <t>Settlement Amount Mismatches</t>
  </si>
  <si>
    <t>KEY PERFORMANCE INDICATORS (KPIs)</t>
  </si>
  <si>
    <t>EXCEPTION SUMMARY BY RULE</t>
  </si>
  <si>
    <t>% of Total</t>
  </si>
  <si>
    <t>Missing Approval Reference</t>
  </si>
  <si>
    <t>Total</t>
  </si>
  <si>
    <t>Section 7 — 5. Exception_Details</t>
  </si>
  <si>
    <t>Section 8 — 6. Excel_Summary</t>
  </si>
  <si>
    <r>
      <t xml:space="preserve">Purpose: </t>
    </r>
    <r>
      <rPr>
        <sz val="11"/>
        <color theme="1"/>
        <rFont val="Aptos"/>
        <family val="2"/>
      </rPr>
      <t xml:space="preserve">Summarises the results of data-quality checks and audit control rules applied to the three datasets.
</t>
    </r>
  </si>
  <si>
    <t>Exception Details</t>
  </si>
  <si>
    <t>Excel Summary</t>
  </si>
  <si>
    <t>Data Quality Checks</t>
  </si>
  <si>
    <r>
      <t xml:space="preserve">Transactions </t>
    </r>
    <r>
      <rPr>
        <sz val="11"/>
        <rFont val="Aptos"/>
        <family val="2"/>
      </rPr>
      <t>contains</t>
    </r>
    <r>
      <rPr>
        <b/>
        <sz val="11"/>
        <rFont val="Aptos"/>
        <family val="2"/>
      </rPr>
      <t xml:space="preserve"> </t>
    </r>
    <r>
      <rPr>
        <sz val="11"/>
        <rFont val="Aptos"/>
        <family val="2"/>
      </rPr>
      <t>transaction IDs, dates, branches ,channels, amounts, transaction statuses, approval IDs, and customer references.</t>
    </r>
  </si>
  <si>
    <r>
      <t xml:space="preserve">Approvals </t>
    </r>
    <r>
      <rPr>
        <sz val="11"/>
        <rFont val="Aptos"/>
        <family val="2"/>
      </rPr>
      <t xml:space="preserve">contain approval IDs, related transaction IDs,  approver roles,  approval statuses, and approval dates. </t>
    </r>
    <r>
      <rPr>
        <b/>
        <sz val="11"/>
        <rFont val="Aptos"/>
        <family val="2"/>
      </rPr>
      <t xml:space="preserve">  </t>
    </r>
  </si>
  <si>
    <r>
      <t xml:space="preserve">Settlement Ledger </t>
    </r>
    <r>
      <rPr>
        <sz val="11"/>
        <rFont val="Aptos"/>
        <family val="2"/>
      </rPr>
      <t>contains settlement references, transaction IDs, settlement dates, settled amounts, and settlement statuses.</t>
    </r>
  </si>
  <si>
    <r>
      <t xml:space="preserve">Purpose: </t>
    </r>
    <r>
      <rPr>
        <sz val="11"/>
        <color theme="1"/>
        <rFont val="Aptos"/>
        <family val="2"/>
      </rPr>
      <t xml:space="preserve">Serves as the primary transaction dataset for the analysis.
</t>
    </r>
    <r>
      <rPr>
        <b/>
        <sz val="11"/>
        <color theme="1"/>
        <rFont val="Aptos"/>
        <family val="2"/>
      </rPr>
      <t xml:space="preserve">Key fields: </t>
    </r>
    <r>
      <rPr>
        <sz val="11"/>
        <color theme="1"/>
        <rFont val="Aptos"/>
        <family val="2"/>
      </rPr>
      <t>TransactionID, TransactionDate, Branch, Channel, Amount, TransactionStatus, ApprovalID, and CustomerRef.</t>
    </r>
    <r>
      <rPr>
        <b/>
        <sz val="11"/>
        <color theme="1"/>
        <rFont val="Aptos"/>
        <family val="2"/>
      </rPr>
      <t xml:space="preserve">
Analysis supported:
</t>
    </r>
    <r>
      <rPr>
        <sz val="11"/>
        <color theme="1"/>
        <rFont val="Aptos"/>
        <family val="2"/>
      </rPr>
      <t>- Count transactions by status.
- Identify missing approval references.
- Identify possible duplicate activity.
- Check whether successful transactions have corresponding settlement records.
- Compare transaction amounts with settled amounts.</t>
    </r>
  </si>
  <si>
    <r>
      <t xml:space="preserve">Purpose: </t>
    </r>
    <r>
      <rPr>
        <sz val="11"/>
        <color theme="1"/>
        <rFont val="Aptos"/>
        <family val="2"/>
      </rPr>
      <t xml:space="preserve">Provides the settlement records used to compare transaction activity against recorded settlements.
</t>
    </r>
    <r>
      <rPr>
        <b/>
        <sz val="11"/>
        <color theme="1"/>
        <rFont val="Aptos"/>
        <family val="2"/>
      </rPr>
      <t>Key fields:</t>
    </r>
    <r>
      <rPr>
        <sz val="11"/>
        <color theme="1"/>
        <rFont val="Aptos"/>
        <family val="2"/>
      </rPr>
      <t xml:space="preserve"> SettlementRef, TransactionID, SettlementDate, SettledAmount, and SettlementStatus.
</t>
    </r>
    <r>
      <rPr>
        <b/>
        <sz val="11"/>
        <color theme="1"/>
        <rFont val="Aptos"/>
        <family val="2"/>
      </rPr>
      <t>Analysis supported:</t>
    </r>
    <r>
      <rPr>
        <sz val="11"/>
        <color theme="1"/>
        <rFont val="Aptos"/>
        <family val="2"/>
      </rPr>
      <t xml:space="preserve">
- Identify successful transactions without a matching settlement record.
- Identify differences between transaction amounts and settled amounts.
- Identify settlement records whose TransactionID does not exist in Transactions.
- Check whether TransactionIDs appear more than once in the settlement ledger.</t>
    </r>
  </si>
  <si>
    <r>
      <t xml:space="preserve">Purpose: </t>
    </r>
    <r>
      <rPr>
        <sz val="11"/>
        <color theme="1"/>
        <rFont val="Aptos"/>
        <family val="2"/>
      </rPr>
      <t xml:space="preserve">Provides the approval records used to verify whether transactions have appropriate and matching approval information.
</t>
    </r>
    <r>
      <rPr>
        <b/>
        <sz val="11"/>
        <color theme="1"/>
        <rFont val="Aptos"/>
        <family val="2"/>
      </rPr>
      <t>Key fields:</t>
    </r>
    <r>
      <rPr>
        <sz val="11"/>
        <color theme="1"/>
        <rFont val="Aptos"/>
        <family val="2"/>
      </rPr>
      <t xml:space="preserve"> ApprovalID, TransactionID, ApproverRole, ApprovalStatus, and ApprovalDate.
</t>
    </r>
    <r>
      <rPr>
        <b/>
        <sz val="11"/>
        <color theme="1"/>
        <rFont val="Aptos"/>
        <family val="2"/>
      </rPr>
      <t>Analysis supported:</t>
    </r>
    <r>
      <rPr>
        <sz val="11"/>
        <color theme="1"/>
        <rFont val="Aptos"/>
        <family val="2"/>
      </rPr>
      <t xml:space="preserve">
- Identify transactions with a blank ApprovalID.
- Check whether both TransactionID and ApprovalID match an approval record.
- Identify matching approval records whose status is not Approved.</t>
    </r>
  </si>
  <si>
    <t>To assess transaction data quality, verify approval references, compare transaction records with settlement records, and identify exceptions requiring further investigations rather than automatically indicating fraud.</t>
  </si>
  <si>
    <t>R1 — Possible duplicate activity</t>
  </si>
  <si>
    <t>Presents a high-level overview of the analysis using key performance indicators (KPIs), an exception summary table, and a bar chart showing exception records by rule.</t>
  </si>
  <si>
    <t xml:space="preserve">Contains detailed records identified under control rules R1–R7, including exception types, transaction references, relevant amounts, review status, and review notes. </t>
  </si>
  <si>
    <t>Identifies transactions with the same CustomerRef, Amount, and calendar date, regardless of transaction time. Flagged records require manual review and must not automatically be classified as confirmed errors or fraud.</t>
  </si>
  <si>
    <t>Date</t>
  </si>
  <si>
    <t>R1_Exception</t>
  </si>
  <si>
    <t>Identifies transaction rows sharing the same CustomerRef, Amount, and calendar date; potential duplicates require manual review.</t>
  </si>
  <si>
    <r>
      <rPr>
        <b/>
        <i/>
        <sz val="10"/>
        <color theme="1" tint="0.14999847407452621"/>
        <rFont val="Aptos"/>
        <family val="2"/>
      </rPr>
      <t>Methodology Note:</t>
    </r>
    <r>
      <rPr>
        <i/>
        <sz val="10"/>
        <color theme="1" tint="0.14999847407452621"/>
        <rFont val="Aptos"/>
        <family val="2"/>
      </rPr>
      <t xml:space="preserve"> Exception records are counted by rule. The same transaction may appear under more than one rule if it meets multiple exception conditions. Consequently, the total number of exception records (104) is not necessarily equal to the number of unique transactions requiring review and not necessarily the number of unique transactions affected.
</t>
    </r>
    <r>
      <rPr>
        <b/>
        <i/>
        <sz val="10"/>
        <color theme="1" tint="0.14999847407452621"/>
        <rFont val="Aptos"/>
        <family val="2"/>
      </rPr>
      <t xml:space="preserve">R1 — Possible Duplicate Activity: </t>
    </r>
    <r>
      <rPr>
        <i/>
        <sz val="10"/>
        <color theme="1" tint="0.14999847407452621"/>
        <rFont val="Aptos"/>
        <family val="2"/>
      </rPr>
      <t>Transactions sharing the same CustomerRef, Amount, and calendar date are flagged for manual review. The transaction time is excluded from the comparison. These records represent potential duplicate activity and must not be treated as confirmed errors or fraud without further investigation.</t>
    </r>
  </si>
  <si>
    <t>R1</t>
  </si>
  <si>
    <t>Possible Duplicate Activity</t>
  </si>
  <si>
    <t>Potential duplicate activity: same CustomerRef, amount, and calendar date as TXN00501. Transaction time differs by two minutes. Both transactions have Failed status. Manual review required; no conclusion of fraud or confirmed error.</t>
  </si>
  <si>
    <t>Potential duplicate activity: same CustomerRef, amount, and calendar date as TXN00046. Transaction time differs by two minutes. Both transactions have Failed status. Manual review required; no conclusion of fraud or confirmed error.</t>
  </si>
  <si>
    <t xml:space="preserve">Possible Duplicate Activity </t>
  </si>
  <si>
    <r>
      <rPr>
        <b/>
        <i/>
        <sz val="10"/>
        <color theme="1" tint="0.14999847407452621"/>
        <rFont val="Aptos"/>
        <family val="2"/>
      </rPr>
      <t>Methodology Note:</t>
    </r>
    <r>
      <rPr>
        <i/>
        <sz val="10"/>
        <color theme="1" tint="0.14999847407452621"/>
        <rFont val="Aptos"/>
        <family val="2"/>
      </rPr>
      <t xml:space="preserve"> Percentages represent each rule's share of the 104 exception records. A single transaction may trigger multiple exception rules; therefore, these percentages do not represent the proportion of unique transactions affected. </t>
    </r>
  </si>
  <si>
    <r>
      <rPr>
        <b/>
        <sz val="11"/>
        <rFont val="Aptos"/>
        <family val="2"/>
      </rPr>
      <t>Data Quality Checks</t>
    </r>
    <r>
      <rPr>
        <sz val="11"/>
        <rFont val="Aptos"/>
        <family val="2"/>
      </rPr>
      <t xml:space="preserve"> summarises transaction counts and the results of seven audit control rules, including a possible duplicate activity check based on CustomerRef, Amount, and calendar date, regardless of transaction time, along with a duplicate TransactionID check for the settlement ledger.</t>
    </r>
  </si>
  <si>
    <r>
      <rPr>
        <b/>
        <sz val="11"/>
        <color theme="1"/>
        <rFont val="Aptos"/>
        <family val="2"/>
      </rPr>
      <t>Purpose:</t>
    </r>
    <r>
      <rPr>
        <sz val="11"/>
        <color theme="1"/>
        <rFont val="Aptos"/>
        <family val="2"/>
      </rPr>
      <t xml:space="preserve"> Provides the detailed exception register for the financial transaction reconciliation and audit analytics project.
</t>
    </r>
    <r>
      <rPr>
        <b/>
        <sz val="11"/>
        <color theme="1"/>
        <rFont val="Aptos"/>
        <family val="2"/>
      </rPr>
      <t>Key fields:</t>
    </r>
    <r>
      <rPr>
        <sz val="11"/>
        <color theme="1"/>
        <rFont val="Aptos"/>
        <family val="2"/>
      </rPr>
      <t xml:space="preserve"> Records identified under control rules R1–R7, including the exception type, relevant transaction or settlement references, amounts, transaction status, approval reference, review status, and review notes.
</t>
    </r>
    <r>
      <rPr>
        <b/>
        <sz val="11"/>
        <color theme="1"/>
        <rFont val="Aptos"/>
        <family val="2"/>
      </rPr>
      <t>Analysis:</t>
    </r>
    <r>
      <rPr>
        <sz val="11"/>
        <color theme="1"/>
        <rFont val="Aptos"/>
        <family val="2"/>
      </rPr>
      <t xml:space="preserve">
a) Each record represents an identified exception condition that may require further investigation. 
b) The ReviewStatus and ReviewNotes fields support the tracking and documentation of follow-up activities. All 104 records are currently marked as Pending Review.
c) A single transaction may appear more than once if it meets multiple exception rules. Therefore, the 104 exception records do not necessarily represent 104 unique 
    transactions. 
d) Identified exceptions indicate potential control or reconciliation issues and should not automatically be interpreted as fraud.</t>
    </r>
  </si>
  <si>
    <r>
      <rPr>
        <b/>
        <sz val="11"/>
        <color theme="1"/>
        <rFont val="Aptos"/>
        <family val="2"/>
      </rPr>
      <t>Purpose:</t>
    </r>
    <r>
      <rPr>
        <sz val="11"/>
        <color theme="1"/>
        <rFont val="Aptos"/>
        <family val="2"/>
      </rPr>
      <t xml:space="preserve"> Presents the key results of the financial transaction reconciliation and audit analytics project in a concise, visual format. 
</t>
    </r>
    <r>
      <rPr>
        <b/>
        <sz val="11"/>
        <color theme="1"/>
        <rFont val="Aptos"/>
        <family val="2"/>
      </rPr>
      <t>Key fields:</t>
    </r>
    <r>
      <rPr>
        <sz val="11"/>
        <color theme="1"/>
        <rFont val="Aptos"/>
        <family val="2"/>
      </rPr>
      <t xml:space="preserve"> Four key performance indicators (KPIs): total transactions, successful transactions, exception records, and settlement amount mismatches; exception summary table;bar chart "Exception Records by Rule.
</t>
    </r>
    <r>
      <rPr>
        <b/>
        <sz val="11"/>
        <color theme="1"/>
        <rFont val="Aptos"/>
        <family val="2"/>
      </rPr>
      <t xml:space="preserve">Analysis:
</t>
    </r>
    <r>
      <rPr>
        <sz val="11"/>
        <color theme="1"/>
        <rFont val="Aptos"/>
        <family val="2"/>
      </rPr>
      <t>a) The dashboard contains 501 transaction records, including 433 successful transactions, and 104 exception records across rules R1–R7 . 
b) The 104 records include 10 settlement amount mismatch records .
c) The exception summary table presents the number of records identified under each control rule (R1–R7), together with each rule's percentage share of the total 
     exception records. 
d)  The percentages represent each rule's share of the 104 exception records, not the proportion of unique transactions affected. 
e) The accompanying bar chart, titled "Exception Records by Rule", provides a visual comparison of exception volumes across the seven rules.
f) These figures summarise the results of the analysis and help highlight areas requiring further review.
g) A transaction may trigger more than one rule, and the identified exceptions require investigation before conclusions are drawn.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</si>
</sst>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35"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b/>
      <sz val="12"/>
      <color theme="0"/>
      <name val="Calibri"/>
      <family val="2"/>
      <scheme val="minor"/>
    </font>
    <font>
      <b/>
      <sz val="18"/>
      <color theme="0"/>
      <name val="Aptos Display"/>
      <family val="2"/>
    </font>
    <font>
      <b/>
      <sz val="12"/>
      <color theme="4" tint="-0.499984740745262"/>
      <name val="Aptos"/>
      <family val="2"/>
    </font>
    <font>
      <b/>
      <sz val="12"/>
      <color theme="9" tint="-0.249977111117893"/>
      <name val="Aptos"/>
      <family val="2"/>
    </font>
    <font>
      <b/>
      <sz val="12"/>
      <color rgb="FF7030A0"/>
      <name val="Aptos"/>
      <family val="2"/>
    </font>
    <font>
      <b/>
      <sz val="12"/>
      <color theme="5" tint="-0.249977111117893"/>
      <name val="Aptos"/>
      <family val="2"/>
    </font>
    <font>
      <b/>
      <sz val="26"/>
      <color theme="4" tint="-0.499984740745262"/>
      <name val="Aptos Display"/>
      <family val="2"/>
    </font>
    <font>
      <b/>
      <sz val="26"/>
      <color theme="9" tint="-0.249977111117893"/>
      <name val="Aptos Display"/>
      <family val="2"/>
    </font>
    <font>
      <b/>
      <sz val="26"/>
      <color rgb="FF7030A0"/>
      <name val="Aptos Display"/>
      <family val="2"/>
    </font>
    <font>
      <b/>
      <sz val="26"/>
      <color theme="5" tint="-0.249977111117893"/>
      <name val="Aptos Display"/>
      <family val="2"/>
    </font>
    <font>
      <sz val="12"/>
      <color theme="0"/>
      <name val="Aptos"/>
      <family val="2"/>
    </font>
    <font>
      <b/>
      <sz val="14"/>
      <color theme="4" tint="-0.499984740745262"/>
      <name val="Aptos Display"/>
      <family val="2"/>
    </font>
    <font>
      <b/>
      <sz val="11"/>
      <color theme="0"/>
      <name val="Aptos"/>
      <family val="2"/>
    </font>
    <font>
      <sz val="11"/>
      <color theme="1"/>
      <name val="Aptos Display"/>
      <family val="2"/>
    </font>
    <font>
      <b/>
      <sz val="11"/>
      <color theme="1"/>
      <name val="Aptos Display"/>
      <family val="2"/>
    </font>
    <font>
      <sz val="11"/>
      <color rgb="FF002060"/>
      <name val="Aptos"/>
      <family val="2"/>
    </font>
    <font>
      <b/>
      <sz val="11"/>
      <color rgb="FF002060"/>
      <name val="Aptos Display"/>
      <family val="2"/>
    </font>
    <font>
      <sz val="11"/>
      <color theme="1"/>
      <name val="Aptos"/>
      <family val="2"/>
    </font>
    <font>
      <i/>
      <sz val="10"/>
      <color theme="1" tint="0.14999847407452621"/>
      <name val="Aptos"/>
      <family val="2"/>
    </font>
    <font>
      <b/>
      <i/>
      <sz val="10"/>
      <color theme="1" tint="0.14999847407452621"/>
      <name val="Aptos"/>
      <family val="2"/>
    </font>
    <font>
      <b/>
      <sz val="28"/>
      <color rgb="FF002060"/>
      <name val="Calibri"/>
      <family val="2"/>
      <scheme val="minor"/>
    </font>
    <font>
      <b/>
      <sz val="16"/>
      <color rgb="FF002060"/>
      <name val="Aptos Display"/>
      <family val="2"/>
    </font>
    <font>
      <b/>
      <sz val="26"/>
      <color rgb="FF002060"/>
      <name val="Aptos Display"/>
      <family val="2"/>
    </font>
    <font>
      <b/>
      <sz val="14"/>
      <color theme="1"/>
      <name val="Aptos Display"/>
      <family val="2"/>
    </font>
    <font>
      <b/>
      <sz val="11"/>
      <name val="Aptos"/>
      <family val="2"/>
    </font>
    <font>
      <sz val="11"/>
      <name val="Aptos"/>
      <family val="2"/>
    </font>
    <font>
      <b/>
      <sz val="11"/>
      <color theme="1"/>
      <name val="Aptos"/>
      <family val="2"/>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C59EE2"/>
        <bgColor indexed="64"/>
      </patternFill>
    </fill>
    <fill>
      <patternFill patternType="solid">
        <fgColor theme="4" tint="0.79998168889431442"/>
        <bgColor indexed="64"/>
      </patternFill>
    </fill>
  </fills>
  <borders count="7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theme="4"/>
      </left>
      <right style="thin">
        <color theme="4"/>
      </right>
      <top style="thin">
        <color theme="4"/>
      </top>
      <bottom style="thin">
        <color theme="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diagonal/>
    </border>
    <border>
      <left style="medium">
        <color indexed="64"/>
      </left>
      <right/>
      <top/>
      <bottom/>
      <diagonal/>
    </border>
    <border>
      <left style="thin">
        <color theme="4"/>
      </left>
      <right style="thin">
        <color theme="4"/>
      </right>
      <top style="thin">
        <color theme="4"/>
      </top>
      <bottom/>
      <diagonal/>
    </border>
    <border>
      <left style="medium">
        <color theme="9" tint="-0.249977111117893"/>
      </left>
      <right/>
      <top/>
      <bottom/>
      <diagonal/>
    </border>
    <border>
      <left/>
      <right/>
      <top style="medium">
        <color theme="9" tint="-0.249977111117893"/>
      </top>
      <bottom/>
      <diagonal/>
    </border>
    <border>
      <left/>
      <right/>
      <top style="medium">
        <color theme="5" tint="-0.249977111117893"/>
      </top>
      <bottom/>
      <diagonal/>
    </border>
    <border>
      <left style="medium">
        <color theme="5" tint="-0.249977111117893"/>
      </left>
      <right/>
      <top/>
      <bottom/>
      <diagonal/>
    </border>
    <border>
      <left/>
      <right style="medium">
        <color theme="4" tint="-0.249977111117893"/>
      </right>
      <top/>
      <bottom/>
      <diagonal/>
    </border>
    <border>
      <left/>
      <right/>
      <top/>
      <bottom style="medium">
        <color theme="4" tint="-0.249977111117893"/>
      </bottom>
      <diagonal/>
    </border>
    <border>
      <left style="medium">
        <color theme="4" tint="-0.249977111117893"/>
      </left>
      <right style="medium">
        <color theme="4" tint="-0.249977111117893"/>
      </right>
      <top/>
      <bottom style="medium">
        <color theme="4" tint="-0.249977111117893"/>
      </bottom>
      <diagonal/>
    </border>
    <border>
      <left style="medium">
        <color theme="4" tint="-0.249977111117893"/>
      </left>
      <right style="medium">
        <color theme="4" tint="-0.249977111117893"/>
      </right>
      <top style="medium">
        <color theme="4" tint="-0.249977111117893"/>
      </top>
      <bottom/>
      <diagonal/>
    </border>
    <border>
      <left style="medium">
        <color theme="9" tint="-0.249977111117893"/>
      </left>
      <right style="medium">
        <color theme="9" tint="-0.249977111117893"/>
      </right>
      <top/>
      <bottom style="medium">
        <color theme="9" tint="-0.249977111117893"/>
      </bottom>
      <diagonal/>
    </border>
    <border>
      <left style="medium">
        <color theme="9" tint="-0.249977111117893"/>
      </left>
      <right style="medium">
        <color theme="9" tint="-0.249977111117893"/>
      </right>
      <top style="medium">
        <color theme="9" tint="-0.249977111117893"/>
      </top>
      <bottom/>
      <diagonal/>
    </border>
    <border>
      <left/>
      <right style="medium">
        <color theme="5" tint="-0.249977111117893"/>
      </right>
      <top/>
      <bottom/>
      <diagonal/>
    </border>
    <border>
      <left style="medium">
        <color theme="5" tint="-0.249977111117893"/>
      </left>
      <right style="medium">
        <color theme="5" tint="-0.249977111117893"/>
      </right>
      <top style="medium">
        <color theme="5" tint="-0.249977111117893"/>
      </top>
      <bottom/>
      <diagonal/>
    </border>
    <border>
      <left style="medium">
        <color theme="5" tint="-0.249977111117893"/>
      </left>
      <right style="medium">
        <color theme="5" tint="-0.249977111117893"/>
      </right>
      <top/>
      <bottom style="medium">
        <color theme="5" tint="-0.249977111117893"/>
      </bottom>
      <diagonal/>
    </border>
    <border>
      <left/>
      <right/>
      <top style="medium">
        <color rgb="FF7030A0"/>
      </top>
      <bottom/>
      <diagonal/>
    </border>
    <border>
      <left style="medium">
        <color rgb="FF7030A0"/>
      </left>
      <right/>
      <top/>
      <bottom/>
      <diagonal/>
    </border>
    <border>
      <left style="medium">
        <color rgb="FF7030A0"/>
      </left>
      <right style="medium">
        <color rgb="FF7030A0"/>
      </right>
      <top/>
      <bottom style="medium">
        <color rgb="FF7030A0"/>
      </bottom>
      <diagonal/>
    </border>
    <border>
      <left style="medium">
        <color rgb="FF7030A0"/>
      </left>
      <right style="medium">
        <color rgb="FF7030A0"/>
      </right>
      <top style="medium">
        <color rgb="FF7030A0"/>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thin">
        <color theme="1"/>
      </left>
      <right style="medium">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medium">
        <color theme="1"/>
      </right>
      <top style="medium">
        <color theme="1"/>
      </top>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right style="thin">
        <color theme="1"/>
      </right>
      <top style="medium">
        <color theme="1"/>
      </top>
      <bottom style="thin">
        <color theme="1"/>
      </bottom>
      <diagonal/>
    </border>
    <border>
      <left/>
      <right style="thin">
        <color theme="1"/>
      </right>
      <top style="thin">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top style="medium">
        <color theme="1"/>
      </top>
      <bottom style="medium">
        <color indexed="64"/>
      </bottom>
      <diagonal/>
    </border>
    <border>
      <left style="medium">
        <color indexed="64"/>
      </left>
      <right/>
      <top style="medium">
        <color theme="1"/>
      </top>
      <bottom style="medium">
        <color indexed="64"/>
      </bottom>
      <diagonal/>
    </border>
    <border>
      <left style="medium">
        <color indexed="64"/>
      </left>
      <right style="medium">
        <color theme="1"/>
      </right>
      <top style="medium">
        <color theme="1"/>
      </top>
      <bottom style="medium">
        <color indexed="64"/>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medium">
        <color indexed="64"/>
      </left>
      <right style="medium">
        <color indexed="64"/>
      </right>
      <top style="thin">
        <color indexed="64"/>
      </top>
      <bottom style="medium">
        <color theme="1"/>
      </bottom>
      <diagonal/>
    </border>
    <border>
      <left/>
      <right style="medium">
        <color theme="1"/>
      </right>
      <top style="thin">
        <color indexed="64"/>
      </top>
      <bottom style="medium">
        <color theme="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71">
    <xf numFmtId="0" fontId="0" fillId="0" borderId="0" xfId="0"/>
    <xf numFmtId="0" fontId="2" fillId="2" borderId="0" xfId="0" applyFont="1" applyFill="1"/>
    <xf numFmtId="22" fontId="0" fillId="0" borderId="0" xfId="0" applyNumberFormat="1"/>
    <xf numFmtId="0" fontId="0" fillId="0" borderId="0" xfId="0" applyAlignment="1">
      <alignment vertical="top"/>
    </xf>
    <xf numFmtId="0" fontId="3" fillId="0" borderId="0" xfId="0" applyFont="1" applyAlignment="1">
      <alignment horizontal="center"/>
    </xf>
    <xf numFmtId="0" fontId="0" fillId="0" borderId="0" xfId="0" applyAlignment="1">
      <alignment horizontal="left" vertical="top"/>
    </xf>
    <xf numFmtId="164" fontId="0" fillId="0" borderId="0" xfId="2" applyNumberFormat="1" applyFont="1"/>
    <xf numFmtId="0" fontId="5" fillId="0" borderId="0" xfId="0" applyFont="1"/>
    <xf numFmtId="0" fontId="0" fillId="5" borderId="18" xfId="0" applyFill="1" applyBorder="1"/>
    <xf numFmtId="0" fontId="0" fillId="0" borderId="18" xfId="0" applyBorder="1"/>
    <xf numFmtId="0" fontId="0" fillId="0" borderId="0" xfId="0" applyAlignment="1">
      <alignment vertical="center" wrapText="1"/>
    </xf>
    <xf numFmtId="0" fontId="0" fillId="0" borderId="21" xfId="0" applyBorder="1"/>
    <xf numFmtId="0" fontId="3" fillId="0" borderId="0" xfId="0" applyFont="1" applyAlignment="1">
      <alignment horizontal="left" vertical="top" wrapText="1"/>
    </xf>
    <xf numFmtId="0" fontId="3" fillId="0" borderId="23" xfId="0" applyFont="1" applyBorder="1" applyAlignment="1">
      <alignment horizontal="left" vertical="top" wrapText="1"/>
    </xf>
    <xf numFmtId="0" fontId="3" fillId="0" borderId="3" xfId="0" applyFont="1" applyBorder="1" applyAlignment="1">
      <alignment horizontal="left" vertical="top" wrapText="1"/>
    </xf>
    <xf numFmtId="0" fontId="0" fillId="0" borderId="23" xfId="0" applyBorder="1"/>
    <xf numFmtId="0" fontId="0" fillId="0" borderId="3" xfId="0" applyBorder="1"/>
    <xf numFmtId="0" fontId="0" fillId="0" borderId="20" xfId="0" applyBorder="1"/>
    <xf numFmtId="0" fontId="0" fillId="0" borderId="15" xfId="0" applyBorder="1"/>
    <xf numFmtId="22" fontId="0" fillId="5" borderId="18" xfId="0" applyNumberFormat="1" applyFill="1" applyBorder="1"/>
    <xf numFmtId="22" fontId="0" fillId="0" borderId="18" xfId="0" applyNumberFormat="1" applyBorder="1"/>
    <xf numFmtId="0" fontId="2" fillId="3" borderId="16" xfId="0" applyFont="1" applyFill="1" applyBorder="1"/>
    <xf numFmtId="0" fontId="2" fillId="3" borderId="15" xfId="0" applyFont="1" applyFill="1" applyBorder="1"/>
    <xf numFmtId="0" fontId="0" fillId="0" borderId="24" xfId="0" applyBorder="1"/>
    <xf numFmtId="22" fontId="0" fillId="0" borderId="24" xfId="0" applyNumberFormat="1" applyBorder="1"/>
    <xf numFmtId="0" fontId="6" fillId="0" borderId="0" xfId="0" applyFont="1" applyAlignment="1">
      <alignment vertical="center" wrapText="1"/>
    </xf>
    <xf numFmtId="0" fontId="7" fillId="0" borderId="0" xfId="0" applyFont="1"/>
    <xf numFmtId="0" fontId="8" fillId="0" borderId="0" xfId="0" applyFont="1" applyAlignment="1">
      <alignment horizontal="center" vertical="center" wrapText="1"/>
    </xf>
    <xf numFmtId="0" fontId="0" fillId="0" borderId="0" xfId="0" applyAlignment="1">
      <alignment horizontal="center" vertical="center"/>
    </xf>
    <xf numFmtId="0" fontId="0" fillId="0" borderId="26" xfId="0" applyBorder="1" applyAlignment="1">
      <alignment horizontal="center" vertical="center"/>
    </xf>
    <xf numFmtId="0" fontId="0" fillId="0" borderId="27" xfId="0" applyBorder="1"/>
    <xf numFmtId="0" fontId="14" fillId="0" borderId="0" xfId="0" applyFont="1" applyAlignment="1">
      <alignment horizontal="center" vertical="center"/>
    </xf>
    <xf numFmtId="0" fontId="0" fillId="0" borderId="29" xfId="0" applyBorder="1"/>
    <xf numFmtId="0" fontId="15" fillId="0" borderId="0" xfId="0" applyFont="1" applyAlignment="1">
      <alignment horizontal="center" vertical="center"/>
    </xf>
    <xf numFmtId="0" fontId="0" fillId="0" borderId="0" xfId="0" applyAlignment="1">
      <alignment horizontal="center"/>
    </xf>
    <xf numFmtId="0" fontId="0" fillId="0" borderId="30" xfId="0" applyBorder="1"/>
    <xf numFmtId="0" fontId="14" fillId="7" borderId="31" xfId="0" applyFont="1" applyFill="1" applyBorder="1" applyAlignment="1">
      <alignment horizontal="center" vertical="center"/>
    </xf>
    <xf numFmtId="0" fontId="10" fillId="7" borderId="32" xfId="0" applyFont="1" applyFill="1" applyBorder="1" applyAlignment="1">
      <alignment horizontal="left" vertical="center"/>
    </xf>
    <xf numFmtId="0" fontId="0" fillId="0" borderId="25" xfId="0" applyBorder="1"/>
    <xf numFmtId="0" fontId="15" fillId="8" borderId="33" xfId="0" applyFont="1" applyFill="1" applyBorder="1" applyAlignment="1">
      <alignment horizontal="center" vertical="center"/>
    </xf>
    <xf numFmtId="0" fontId="11" fillId="8" borderId="34" xfId="0" applyFont="1" applyFill="1" applyBorder="1" applyAlignment="1">
      <alignment horizontal="left" vertical="center"/>
    </xf>
    <xf numFmtId="0" fontId="0" fillId="0" borderId="28" xfId="0" applyBorder="1" applyAlignment="1">
      <alignment horizontal="center"/>
    </xf>
    <xf numFmtId="0" fontId="13" fillId="9" borderId="36" xfId="0" applyFont="1" applyFill="1" applyBorder="1" applyAlignment="1">
      <alignment horizontal="left" vertical="center"/>
    </xf>
    <xf numFmtId="0" fontId="17" fillId="9" borderId="37" xfId="0" applyFont="1" applyFill="1" applyBorder="1" applyAlignment="1">
      <alignment horizontal="center" vertical="center"/>
    </xf>
    <xf numFmtId="0" fontId="0" fillId="0" borderId="39" xfId="0" applyBorder="1"/>
    <xf numFmtId="0" fontId="0" fillId="0" borderId="38" xfId="0" applyBorder="1"/>
    <xf numFmtId="0" fontId="16" fillId="10" borderId="40" xfId="0" applyFont="1" applyFill="1" applyBorder="1" applyAlignment="1">
      <alignment horizontal="center" vertical="center"/>
    </xf>
    <xf numFmtId="0" fontId="12" fillId="10" borderId="41" xfId="0" applyFont="1" applyFill="1" applyBorder="1" applyAlignment="1">
      <alignment horizontal="left" vertical="center"/>
    </xf>
    <xf numFmtId="0" fontId="0" fillId="0" borderId="35" xfId="0" applyBorder="1"/>
    <xf numFmtId="0" fontId="2" fillId="3" borderId="16" xfId="0" applyFont="1" applyFill="1" applyBorder="1" applyAlignment="1">
      <alignment horizontal="left" vertical="top"/>
    </xf>
    <xf numFmtId="164" fontId="0" fillId="5" borderId="18" xfId="2" applyNumberFormat="1" applyFont="1" applyFill="1" applyBorder="1" applyAlignment="1">
      <alignment horizontal="left" vertical="top"/>
    </xf>
    <xf numFmtId="164" fontId="0" fillId="0" borderId="18" xfId="2" applyNumberFormat="1" applyFont="1" applyBorder="1" applyAlignment="1">
      <alignment horizontal="left" vertical="top"/>
    </xf>
    <xf numFmtId="164" fontId="0" fillId="0" borderId="0" xfId="2" applyNumberFormat="1" applyFont="1" applyAlignment="1">
      <alignment horizontal="left" vertical="top"/>
    </xf>
    <xf numFmtId="0" fontId="20" fillId="6" borderId="48" xfId="0" applyFont="1" applyFill="1" applyBorder="1" applyAlignment="1">
      <alignment horizontal="center" vertical="center" wrapText="1"/>
    </xf>
    <xf numFmtId="0" fontId="23" fillId="11" borderId="48" xfId="0" applyFont="1" applyFill="1" applyBorder="1" applyAlignment="1">
      <alignment horizontal="center" vertical="top"/>
    </xf>
    <xf numFmtId="165" fontId="23" fillId="11" borderId="48" xfId="1" applyNumberFormat="1" applyFont="1" applyFill="1" applyBorder="1" applyAlignment="1">
      <alignment horizontal="center" vertical="top"/>
    </xf>
    <xf numFmtId="0" fontId="23" fillId="0" borderId="48" xfId="0" applyFont="1" applyBorder="1" applyAlignment="1">
      <alignment horizontal="center" vertical="top"/>
    </xf>
    <xf numFmtId="165" fontId="23" fillId="0" borderId="48" xfId="1" applyNumberFormat="1" applyFont="1" applyFill="1" applyBorder="1" applyAlignment="1">
      <alignment horizontal="center" vertical="top"/>
    </xf>
    <xf numFmtId="0" fontId="23" fillId="0" borderId="49" xfId="0" applyFont="1" applyBorder="1" applyAlignment="1">
      <alignment horizontal="center" vertical="top"/>
    </xf>
    <xf numFmtId="0" fontId="0" fillId="7" borderId="50" xfId="0" applyFill="1" applyBorder="1"/>
    <xf numFmtId="0" fontId="24" fillId="7" borderId="50" xfId="0" applyFont="1" applyFill="1" applyBorder="1" applyAlignment="1">
      <alignment horizontal="center"/>
    </xf>
    <xf numFmtId="165" fontId="24" fillId="7" borderId="50" xfId="1" applyNumberFormat="1" applyFont="1" applyFill="1" applyBorder="1" applyAlignment="1">
      <alignment horizontal="center"/>
    </xf>
    <xf numFmtId="0" fontId="25" fillId="0" borderId="0" xfId="0" applyFont="1"/>
    <xf numFmtId="0" fontId="21" fillId="0" borderId="10" xfId="0" applyFont="1" applyBorder="1" applyAlignment="1">
      <alignment vertical="top"/>
    </xf>
    <xf numFmtId="0" fontId="21" fillId="0" borderId="11" xfId="0" applyFont="1" applyBorder="1" applyAlignment="1">
      <alignment vertical="top"/>
    </xf>
    <xf numFmtId="0" fontId="21" fillId="0" borderId="12" xfId="0" applyFont="1" applyBorder="1" applyAlignment="1">
      <alignment vertical="top" wrapText="1"/>
    </xf>
    <xf numFmtId="0" fontId="28" fillId="0" borderId="0" xfId="0" applyFont="1" applyAlignment="1">
      <alignment vertical="top"/>
    </xf>
    <xf numFmtId="0" fontId="22" fillId="0" borderId="1" xfId="0" applyFont="1" applyBorder="1" applyAlignment="1">
      <alignment vertical="top"/>
    </xf>
    <xf numFmtId="0" fontId="21" fillId="0" borderId="2" xfId="0" applyFont="1" applyBorder="1" applyAlignment="1">
      <alignment horizontal="left" vertical="top"/>
    </xf>
    <xf numFmtId="0" fontId="21" fillId="0" borderId="8" xfId="0" applyFont="1" applyBorder="1" applyAlignment="1">
      <alignment vertical="top"/>
    </xf>
    <xf numFmtId="0" fontId="21" fillId="0" borderId="3" xfId="0" applyFont="1" applyBorder="1" applyAlignment="1">
      <alignment horizontal="left" vertical="top"/>
    </xf>
    <xf numFmtId="0" fontId="22" fillId="0" borderId="9" xfId="0" applyFont="1" applyBorder="1" applyAlignment="1">
      <alignment vertical="top"/>
    </xf>
    <xf numFmtId="0" fontId="22" fillId="0" borderId="4" xfId="0" applyFont="1" applyBorder="1" applyAlignment="1">
      <alignment horizontal="left" vertical="top"/>
    </xf>
    <xf numFmtId="0" fontId="21" fillId="0" borderId="5" xfId="0" applyFont="1" applyBorder="1" applyAlignment="1">
      <alignment horizontal="left" vertical="top"/>
    </xf>
    <xf numFmtId="0" fontId="21" fillId="0" borderId="6" xfId="0" applyFont="1" applyBorder="1" applyAlignment="1">
      <alignment horizontal="left" vertical="top"/>
    </xf>
    <xf numFmtId="0" fontId="21" fillId="0" borderId="12" xfId="0" applyFont="1" applyBorder="1" applyAlignment="1">
      <alignment vertical="top"/>
    </xf>
    <xf numFmtId="0" fontId="21" fillId="0" borderId="7" xfId="0" applyFont="1" applyBorder="1" applyAlignment="1">
      <alignment horizontal="left" vertical="top"/>
    </xf>
    <xf numFmtId="10" fontId="21" fillId="0" borderId="7" xfId="1" applyNumberFormat="1" applyFont="1" applyBorder="1" applyAlignment="1">
      <alignment horizontal="left" vertical="top"/>
    </xf>
    <xf numFmtId="0" fontId="21" fillId="0" borderId="3" xfId="0" applyFont="1" applyBorder="1" applyAlignment="1">
      <alignment vertical="top"/>
    </xf>
    <xf numFmtId="0" fontId="22" fillId="0" borderId="4" xfId="0" applyFont="1" applyBorder="1" applyAlignment="1">
      <alignment vertical="top"/>
    </xf>
    <xf numFmtId="0" fontId="22" fillId="0" borderId="13" xfId="0" applyFont="1" applyBorder="1" applyAlignment="1">
      <alignment vertical="top"/>
    </xf>
    <xf numFmtId="0" fontId="22" fillId="0" borderId="14" xfId="0" applyFont="1" applyBorder="1" applyAlignment="1">
      <alignment vertical="top"/>
    </xf>
    <xf numFmtId="0" fontId="22" fillId="0" borderId="13" xfId="0" applyFont="1" applyBorder="1" applyAlignment="1">
      <alignment vertical="top" wrapText="1"/>
    </xf>
    <xf numFmtId="0" fontId="22" fillId="0" borderId="14" xfId="0" applyFont="1" applyBorder="1" applyAlignment="1">
      <alignment horizontal="left" vertical="top"/>
    </xf>
    <xf numFmtId="0" fontId="21" fillId="0" borderId="1" xfId="0" applyFont="1" applyBorder="1" applyAlignment="1">
      <alignment vertical="top" wrapText="1"/>
    </xf>
    <xf numFmtId="0" fontId="21" fillId="0" borderId="8" xfId="0" applyFont="1" applyBorder="1" applyAlignment="1">
      <alignment vertical="top" wrapText="1"/>
    </xf>
    <xf numFmtId="0" fontId="22" fillId="0" borderId="9" xfId="0" applyFont="1" applyBorder="1" applyAlignment="1">
      <alignment vertical="top" wrapText="1"/>
    </xf>
    <xf numFmtId="0" fontId="21" fillId="0" borderId="16" xfId="0" applyFont="1" applyBorder="1" applyAlignment="1">
      <alignment vertical="top" wrapText="1"/>
    </xf>
    <xf numFmtId="0" fontId="21" fillId="0" borderId="15" xfId="0" applyFont="1" applyBorder="1" applyAlignment="1">
      <alignment horizontal="left" vertical="top"/>
    </xf>
    <xf numFmtId="0" fontId="21" fillId="0" borderId="1" xfId="0" applyFont="1" applyBorder="1" applyAlignment="1">
      <alignment vertical="top"/>
    </xf>
    <xf numFmtId="0" fontId="21" fillId="0" borderId="2" xfId="0" applyFont="1" applyBorder="1" applyAlignment="1">
      <alignment vertical="top"/>
    </xf>
    <xf numFmtId="0" fontId="22" fillId="0" borderId="10" xfId="0" applyFont="1" applyBorder="1" applyAlignment="1">
      <alignment vertical="top"/>
    </xf>
    <xf numFmtId="0" fontId="22" fillId="0" borderId="5" xfId="0" applyFont="1" applyBorder="1" applyAlignment="1">
      <alignment vertical="top"/>
    </xf>
    <xf numFmtId="0" fontId="21" fillId="0" borderId="12" xfId="0" applyFont="1" applyBorder="1" applyAlignment="1">
      <alignment horizontal="left" vertical="top"/>
    </xf>
    <xf numFmtId="0" fontId="31" fillId="0" borderId="0" xfId="0" applyFont="1"/>
    <xf numFmtId="0" fontId="32" fillId="4" borderId="59" xfId="0" applyFont="1" applyFill="1" applyBorder="1" applyAlignment="1">
      <alignment horizontal="center" vertical="center"/>
    </xf>
    <xf numFmtId="0" fontId="25" fillId="0" borderId="64" xfId="0" applyFont="1" applyBorder="1" applyAlignment="1">
      <alignment vertical="center"/>
    </xf>
    <xf numFmtId="0" fontId="25" fillId="0" borderId="54" xfId="0" applyFont="1" applyBorder="1" applyAlignment="1">
      <alignment vertical="top"/>
    </xf>
    <xf numFmtId="0" fontId="25" fillId="0" borderId="54" xfId="0" applyFont="1" applyBorder="1" applyAlignment="1">
      <alignment vertical="top" wrapText="1"/>
    </xf>
    <xf numFmtId="0" fontId="25" fillId="0" borderId="54" xfId="0" applyFont="1" applyBorder="1" applyAlignment="1">
      <alignment vertical="center"/>
    </xf>
    <xf numFmtId="0" fontId="25" fillId="0" borderId="55" xfId="0" applyFont="1" applyBorder="1" applyAlignment="1">
      <alignment vertical="top"/>
    </xf>
    <xf numFmtId="0" fontId="32" fillId="4" borderId="65" xfId="0" applyFont="1" applyFill="1" applyBorder="1" applyAlignment="1">
      <alignment horizontal="center" vertical="center"/>
    </xf>
    <xf numFmtId="0" fontId="32" fillId="4" borderId="66" xfId="0" applyFont="1" applyFill="1" applyBorder="1" applyAlignment="1">
      <alignment horizontal="center" vertical="center"/>
    </xf>
    <xf numFmtId="0" fontId="32" fillId="4" borderId="67" xfId="0" applyFont="1" applyFill="1" applyBorder="1" applyAlignment="1">
      <alignment horizontal="center" vertical="center"/>
    </xf>
    <xf numFmtId="0" fontId="25" fillId="0" borderId="68" xfId="0" applyFont="1" applyBorder="1" applyAlignment="1">
      <alignment vertical="top" wrapText="1"/>
    </xf>
    <xf numFmtId="0" fontId="25" fillId="0" borderId="10" xfId="0" applyFont="1" applyBorder="1" applyAlignment="1">
      <alignment vertical="top"/>
    </xf>
    <xf numFmtId="0" fontId="25" fillId="0" borderId="69" xfId="0" applyFont="1" applyBorder="1" applyAlignment="1">
      <alignment vertical="center" wrapText="1"/>
    </xf>
    <xf numFmtId="0" fontId="25" fillId="0" borderId="70" xfId="0" applyFont="1" applyBorder="1" applyAlignment="1">
      <alignment vertical="top" wrapText="1"/>
    </xf>
    <xf numFmtId="0" fontId="25" fillId="0" borderId="11" xfId="0" applyFont="1" applyBorder="1" applyAlignment="1">
      <alignment vertical="top" wrapText="1"/>
    </xf>
    <xf numFmtId="0" fontId="25" fillId="0" borderId="71" xfId="0" applyFont="1" applyBorder="1" applyAlignment="1">
      <alignment vertical="center" wrapText="1"/>
    </xf>
    <xf numFmtId="0" fontId="25" fillId="0" borderId="11" xfId="0" applyFont="1" applyBorder="1" applyAlignment="1">
      <alignment vertical="top"/>
    </xf>
    <xf numFmtId="0" fontId="25" fillId="0" borderId="22" xfId="0" applyFont="1" applyBorder="1" applyAlignment="1">
      <alignment vertical="top" wrapText="1"/>
    </xf>
    <xf numFmtId="0" fontId="25" fillId="0" borderId="71" xfId="0" applyFont="1" applyBorder="1" applyAlignment="1">
      <alignment vertical="top" wrapText="1"/>
    </xf>
    <xf numFmtId="0" fontId="25" fillId="0" borderId="72" xfId="0" applyFont="1" applyBorder="1" applyAlignment="1">
      <alignment vertical="top" wrapText="1"/>
    </xf>
    <xf numFmtId="0" fontId="25" fillId="0" borderId="73" xfId="0" applyFont="1" applyBorder="1" applyAlignment="1">
      <alignment vertical="top" wrapText="1"/>
    </xf>
    <xf numFmtId="0" fontId="25" fillId="0" borderId="74" xfId="0" applyFont="1" applyBorder="1" applyAlignment="1">
      <alignment vertical="center" wrapText="1"/>
    </xf>
    <xf numFmtId="14" fontId="0" fillId="0" borderId="0" xfId="0" applyNumberFormat="1"/>
    <xf numFmtId="164" fontId="0" fillId="0" borderId="24" xfId="2" applyNumberFormat="1" applyFont="1" applyBorder="1" applyAlignment="1">
      <alignment horizontal="left" vertical="top"/>
    </xf>
    <xf numFmtId="0" fontId="32" fillId="0" borderId="53" xfId="0" applyFont="1" applyBorder="1" applyAlignment="1">
      <alignment horizontal="left" vertical="center" wrapText="1"/>
    </xf>
    <xf numFmtId="0" fontId="32" fillId="0" borderId="52" xfId="0" applyFont="1" applyBorder="1" applyAlignment="1">
      <alignment horizontal="left" vertical="center" wrapText="1"/>
    </xf>
    <xf numFmtId="0" fontId="32" fillId="0" borderId="56" xfId="0" applyFont="1" applyBorder="1" applyAlignment="1">
      <alignment horizontal="left" vertical="center" wrapText="1"/>
    </xf>
    <xf numFmtId="0" fontId="33" fillId="0" borderId="53" xfId="0" applyFont="1" applyBorder="1" applyAlignment="1">
      <alignment horizontal="left" vertical="center" wrapText="1"/>
    </xf>
    <xf numFmtId="0" fontId="33" fillId="0" borderId="52" xfId="0" applyFont="1" applyBorder="1" applyAlignment="1">
      <alignment horizontal="left" vertical="center" wrapText="1"/>
    </xf>
    <xf numFmtId="0" fontId="33" fillId="0" borderId="56" xfId="0" applyFont="1" applyBorder="1" applyAlignment="1">
      <alignment horizontal="left" vertical="center" wrapText="1"/>
    </xf>
    <xf numFmtId="0" fontId="34" fillId="0" borderId="17" xfId="0" applyFont="1" applyBorder="1" applyAlignment="1">
      <alignment horizontal="left" vertical="top" wrapText="1"/>
    </xf>
    <xf numFmtId="0" fontId="34" fillId="0" borderId="19" xfId="0" applyFont="1" applyBorder="1" applyAlignment="1">
      <alignment horizontal="left" vertical="top" wrapText="1"/>
    </xf>
    <xf numFmtId="0" fontId="34" fillId="0" borderId="14" xfId="0" applyFont="1" applyBorder="1" applyAlignment="1">
      <alignment horizontal="left" vertical="top" wrapText="1"/>
    </xf>
    <xf numFmtId="0" fontId="34" fillId="0" borderId="20" xfId="0" applyFont="1" applyBorder="1" applyAlignment="1">
      <alignment horizontal="left" vertical="top" wrapText="1"/>
    </xf>
    <xf numFmtId="0" fontId="34" fillId="0" borderId="21" xfId="0" applyFont="1" applyBorder="1" applyAlignment="1">
      <alignment horizontal="left" vertical="top" wrapText="1"/>
    </xf>
    <xf numFmtId="0" fontId="34" fillId="0" borderId="15" xfId="0" applyFont="1" applyBorder="1" applyAlignment="1">
      <alignment horizontal="left" vertical="top" wrapText="1"/>
    </xf>
    <xf numFmtId="0" fontId="32" fillId="4" borderId="43" xfId="0" applyFont="1" applyFill="1" applyBorder="1" applyAlignment="1">
      <alignment horizontal="center" vertical="center"/>
    </xf>
    <xf numFmtId="0" fontId="32" fillId="4" borderId="44" xfId="0" applyFont="1" applyFill="1" applyBorder="1" applyAlignment="1">
      <alignment horizontal="center" vertical="center"/>
    </xf>
    <xf numFmtId="0" fontId="33" fillId="0" borderId="62" xfId="0" applyFont="1" applyBorder="1" applyAlignment="1">
      <alignment horizontal="left" vertical="center" wrapText="1"/>
    </xf>
    <xf numFmtId="0" fontId="33" fillId="0" borderId="60" xfId="0" applyFont="1" applyBorder="1" applyAlignment="1">
      <alignment horizontal="left" vertical="center" wrapText="1"/>
    </xf>
    <xf numFmtId="0" fontId="33" fillId="0" borderId="61" xfId="0" applyFont="1" applyBorder="1" applyAlignment="1">
      <alignment horizontal="left" vertical="center" wrapText="1"/>
    </xf>
    <xf numFmtId="0" fontId="33" fillId="0" borderId="53" xfId="0" applyFont="1" applyBorder="1" applyAlignment="1">
      <alignment horizontal="left" vertical="top" wrapText="1"/>
    </xf>
    <xf numFmtId="0" fontId="33" fillId="0" borderId="52" xfId="0" applyFont="1" applyBorder="1" applyAlignment="1">
      <alignment horizontal="left" vertical="top" wrapText="1"/>
    </xf>
    <xf numFmtId="0" fontId="33" fillId="0" borderId="56" xfId="0" applyFont="1" applyBorder="1" applyAlignment="1">
      <alignment horizontal="left" vertical="top" wrapText="1"/>
    </xf>
    <xf numFmtId="0" fontId="25" fillId="0" borderId="17" xfId="0" applyFont="1" applyBorder="1" applyAlignment="1">
      <alignment horizontal="left" vertical="top" wrapText="1"/>
    </xf>
    <xf numFmtId="0" fontId="25" fillId="0" borderId="19" xfId="0" applyFont="1" applyBorder="1" applyAlignment="1">
      <alignment horizontal="left" vertical="top" wrapText="1"/>
    </xf>
    <xf numFmtId="0" fontId="25" fillId="0" borderId="14" xfId="0" applyFont="1" applyBorder="1" applyAlignment="1">
      <alignment horizontal="left" vertical="top" wrapText="1"/>
    </xf>
    <xf numFmtId="0" fontId="25" fillId="0" borderId="20" xfId="0" applyFont="1" applyBorder="1" applyAlignment="1">
      <alignment horizontal="left" vertical="top" wrapText="1"/>
    </xf>
    <xf numFmtId="0" fontId="25" fillId="0" borderId="21" xfId="0" applyFont="1" applyBorder="1" applyAlignment="1">
      <alignment horizontal="left" vertical="top" wrapText="1"/>
    </xf>
    <xf numFmtId="0" fontId="25" fillId="0" borderId="15" xfId="0" applyFont="1" applyBorder="1" applyAlignment="1">
      <alignment horizontal="left" vertical="top" wrapText="1"/>
    </xf>
    <xf numFmtId="0" fontId="33" fillId="0" borderId="63" xfId="0" applyFont="1" applyBorder="1" applyAlignment="1">
      <alignment horizontal="left" vertical="top" wrapText="1"/>
    </xf>
    <xf numFmtId="0" fontId="33" fillId="0" borderId="57" xfId="0" applyFont="1" applyBorder="1" applyAlignment="1">
      <alignment horizontal="left" vertical="top" wrapText="1"/>
    </xf>
    <xf numFmtId="0" fontId="33" fillId="0" borderId="58" xfId="0" applyFont="1" applyBorder="1" applyAlignment="1">
      <alignment horizontal="left" vertical="top" wrapText="1"/>
    </xf>
    <xf numFmtId="0" fontId="34" fillId="0" borderId="46" xfId="0" applyFont="1" applyBorder="1" applyAlignment="1">
      <alignment horizontal="center"/>
    </xf>
    <xf numFmtId="0" fontId="30" fillId="11" borderId="0" xfId="0" applyFont="1" applyFill="1" applyAlignment="1">
      <alignment horizontal="center" vertical="top"/>
    </xf>
    <xf numFmtId="0" fontId="26" fillId="0" borderId="42" xfId="0" applyFont="1" applyBorder="1" applyAlignment="1">
      <alignment horizontal="left" vertical="top" wrapText="1"/>
    </xf>
    <xf numFmtId="0" fontId="26" fillId="0" borderId="43" xfId="0" applyFont="1" applyBorder="1" applyAlignment="1">
      <alignment horizontal="left" vertical="top" wrapText="1"/>
    </xf>
    <xf numFmtId="0" fontId="26" fillId="0" borderId="44" xfId="0" applyFont="1" applyBorder="1" applyAlignment="1">
      <alignment horizontal="left" vertical="top" wrapText="1"/>
    </xf>
    <xf numFmtId="0" fontId="26" fillId="0" borderId="45" xfId="0" applyFont="1" applyBorder="1" applyAlignment="1">
      <alignment horizontal="left" vertical="top" wrapText="1"/>
    </xf>
    <xf numFmtId="0" fontId="26" fillId="0" borderId="46" xfId="0" applyFont="1" applyBorder="1" applyAlignment="1">
      <alignment horizontal="left" vertical="top" wrapText="1"/>
    </xf>
    <xf numFmtId="0" fontId="26" fillId="0" borderId="47" xfId="0" applyFont="1" applyBorder="1" applyAlignment="1">
      <alignment horizontal="left" vertical="top" wrapText="1"/>
    </xf>
    <xf numFmtId="0" fontId="29" fillId="7" borderId="0" xfId="0" applyFont="1" applyFill="1" applyAlignment="1">
      <alignment horizontal="center" vertical="center" wrapText="1"/>
    </xf>
    <xf numFmtId="0" fontId="9" fillId="6" borderId="0" xfId="0" applyFont="1" applyFill="1" applyAlignment="1">
      <alignment horizontal="center" vertical="center" wrapText="1"/>
    </xf>
    <xf numFmtId="0" fontId="18" fillId="6" borderId="0" xfId="0" applyFont="1" applyFill="1" applyAlignment="1">
      <alignment horizontal="center" vertical="center" wrapText="1"/>
    </xf>
    <xf numFmtId="0" fontId="26" fillId="0" borderId="17" xfId="0" applyFont="1" applyBorder="1" applyAlignment="1">
      <alignment horizontal="left" vertical="top" wrapText="1"/>
    </xf>
    <xf numFmtId="0" fontId="26" fillId="0" borderId="19" xfId="0" applyFont="1" applyBorder="1" applyAlignment="1">
      <alignment horizontal="left" vertical="top" wrapText="1"/>
    </xf>
    <xf numFmtId="0" fontId="26" fillId="0" borderId="14" xfId="0" applyFont="1" applyBorder="1" applyAlignment="1">
      <alignment horizontal="left" vertical="top" wrapText="1"/>
    </xf>
    <xf numFmtId="0" fontId="26" fillId="0" borderId="20" xfId="0" applyFont="1" applyBorder="1" applyAlignment="1">
      <alignment horizontal="left" vertical="top" wrapText="1"/>
    </xf>
    <xf numFmtId="0" fontId="26" fillId="0" borderId="21" xfId="0" applyFont="1" applyBorder="1" applyAlignment="1">
      <alignment horizontal="left" vertical="top" wrapText="1"/>
    </xf>
    <xf numFmtId="0" fontId="26" fillId="0" borderId="15" xfId="0" applyFont="1" applyBorder="1" applyAlignment="1">
      <alignment horizontal="left" vertical="top" wrapText="1"/>
    </xf>
    <xf numFmtId="0" fontId="19" fillId="7" borderId="0" xfId="0" applyFont="1" applyFill="1" applyAlignment="1">
      <alignment horizontal="left" vertical="center" wrapText="1"/>
    </xf>
    <xf numFmtId="0" fontId="19" fillId="7" borderId="0" xfId="0" applyFont="1" applyFill="1" applyAlignment="1">
      <alignment horizontal="center" vertical="center" wrapText="1"/>
    </xf>
    <xf numFmtId="0" fontId="20" fillId="6" borderId="48" xfId="0" applyFont="1" applyFill="1" applyBorder="1" applyAlignment="1">
      <alignment horizontal="center" vertical="center" wrapText="1"/>
    </xf>
    <xf numFmtId="0" fontId="23" fillId="11" borderId="48" xfId="0" applyFont="1" applyFill="1" applyBorder="1" applyAlignment="1">
      <alignment horizontal="left" vertical="top" wrapText="1"/>
    </xf>
    <xf numFmtId="0" fontId="23" fillId="0" borderId="48" xfId="0" applyFont="1" applyBorder="1" applyAlignment="1">
      <alignment horizontal="left" vertical="top" wrapText="1"/>
    </xf>
    <xf numFmtId="0" fontId="23" fillId="0" borderId="51" xfId="0" applyFont="1" applyBorder="1" applyAlignment="1">
      <alignment horizontal="left" vertical="top" wrapText="1"/>
    </xf>
    <xf numFmtId="0" fontId="24" fillId="7" borderId="50" xfId="0" applyFont="1" applyFill="1" applyBorder="1" applyAlignment="1">
      <alignment horizontal="left"/>
    </xf>
  </cellXfs>
  <cellStyles count="3">
    <cellStyle name="Comma" xfId="2" builtinId="3"/>
    <cellStyle name="Normal" xfId="0" builtinId="0"/>
    <cellStyle name="Percent" xfId="1" builtinId="5"/>
  </cellStyles>
  <dxfs count="26">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alignment horizontal="left"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numFmt numFmtId="27" formatCode="dd/mm/yyyy\ hh:mm"/>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style="thin">
          <color theme="4"/>
        </bottom>
        <vertical/>
        <horizontal/>
      </border>
    </dxf>
    <dxf>
      <border outline="0">
        <top style="medium">
          <color indexed="64"/>
        </top>
      </border>
    </dxf>
    <dxf>
      <font>
        <b val="0"/>
        <i val="0"/>
        <strike val="0"/>
        <condense val="0"/>
        <extend val="0"/>
        <outline val="0"/>
        <shadow val="0"/>
        <u val="none"/>
        <vertAlign val="baseline"/>
        <sz val="11"/>
        <color theme="1"/>
        <name val="Calibri"/>
        <family val="2"/>
        <scheme val="minor"/>
      </font>
    </dxf>
    <dxf>
      <border outline="0">
        <bottom style="medium">
          <color indexed="64"/>
        </bottom>
      </border>
    </dxf>
    <dxf>
      <font>
        <strike val="0"/>
        <outline val="0"/>
        <shadow val="0"/>
        <u val="none"/>
        <vertAlign val="baseline"/>
        <sz val="11"/>
        <color theme="0"/>
        <name val="Calibri"/>
        <family val="2"/>
        <scheme val="minor"/>
      </font>
      <fill>
        <patternFill patternType="solid">
          <fgColor indexed="64"/>
          <bgColor theme="4" tint="-0.249977111117893"/>
        </patternFill>
      </fill>
      <border diagonalUp="0" diagonalDown="0" outline="0">
        <left style="medium">
          <color indexed="64"/>
        </left>
        <right style="medium">
          <color indexed="64"/>
        </right>
        <top/>
        <bottom/>
      </border>
    </dxf>
    <dxf>
      <numFmt numFmtId="27" formatCode="dd/mm/yyyy\ hh:mm"/>
    </dxf>
    <dxf>
      <font>
        <strike val="0"/>
        <outline val="0"/>
        <shadow val="0"/>
        <u val="none"/>
        <vertAlign val="baseline"/>
        <sz val="11"/>
        <color theme="0"/>
        <name val="Calibri"/>
        <family val="2"/>
        <scheme val="minor"/>
      </font>
      <fill>
        <patternFill patternType="solid">
          <fgColor indexed="64"/>
          <bgColor rgb="FF0070C0"/>
        </patternFill>
      </fill>
    </dxf>
    <dxf>
      <numFmt numFmtId="0" formatCode="General"/>
    </dxf>
    <dxf>
      <numFmt numFmtId="164" formatCode="_ * #,##0_ ;_ * \-#,##0_ ;_ * &quot;-&quot;??_ ;_ @_ "/>
    </dxf>
    <dxf>
      <numFmt numFmtId="27" formatCode="dd/mm/yyyy\ hh:mm"/>
    </dxf>
    <dxf>
      <font>
        <strike val="0"/>
        <outline val="0"/>
        <shadow val="0"/>
        <u val="none"/>
        <vertAlign val="baseline"/>
        <sz val="11"/>
        <color theme="0"/>
        <name val="Calibri"/>
        <family val="2"/>
        <scheme val="minor"/>
      </font>
      <fill>
        <patternFill patternType="solid">
          <fgColor indexed="64"/>
          <bgColor rgb="FF007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_ * #,##0_ ;_ * \-#,##0_ ;_ * &quot;-&quot;??_ ;_ @_ "/>
    </dxf>
    <dxf>
      <numFmt numFmtId="27" formatCode="dd/mm/yyyy\ hh:mm"/>
    </dxf>
    <dxf>
      <font>
        <strike val="0"/>
        <outline val="0"/>
        <shadow val="0"/>
        <u val="none"/>
        <vertAlign val="baseline"/>
        <sz val="11"/>
        <color theme="0"/>
        <name val="Calibri"/>
        <family val="2"/>
        <scheme val="minor"/>
      </font>
      <fill>
        <patternFill patternType="solid">
          <fgColor indexed="64"/>
          <bgColor rgb="FF0070C0"/>
        </patternFill>
      </fill>
    </dxf>
  </dxfs>
  <tableStyles count="0" defaultTableStyle="TableStyleMedium2" defaultPivotStyle="PivotStyleLight16"/>
  <colors>
    <mruColors>
      <color rgb="FFC59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002060"/>
                </a:solidFill>
                <a:latin typeface="Aptos Display" panose="020B0004020202020204" pitchFamily="34" charset="0"/>
              </a:rPr>
              <a:t>Exception Records by Rule (Count)</a:t>
            </a:r>
            <a:endParaRPr lang="en-IN" sz="1600" b="1">
              <a:solidFill>
                <a:srgbClr val="002060"/>
              </a:solidFill>
              <a:latin typeface="Aptos Display" panose="020B0004020202020204" pitchFamily="34" charset="0"/>
            </a:endParaRPr>
          </a:p>
        </c:rich>
      </c:tx>
      <c:layout>
        <c:manualLayout>
          <c:xMode val="edge"/>
          <c:yMode val="edge"/>
          <c:x val="0.17129070943773336"/>
          <c:y val="1.6314423909751689E-2"/>
        </c:manualLayout>
      </c:layout>
      <c:overlay val="0"/>
      <c:spPr>
        <a:solidFill>
          <a:schemeClr val="accent1">
            <a:lumMod val="40000"/>
            <a:lumOff val="60000"/>
          </a:schemeClr>
        </a:solid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7483814523184596E-2"/>
          <c:y val="0.17324413239645381"/>
          <c:w val="0.8892939632545932"/>
          <c:h val="0.71839879659648653"/>
        </c:manualLayout>
      </c:layout>
      <c:barChart>
        <c:barDir val="bar"/>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'6.Excel_Summary'!$B$15:$B$21</c:f>
              <c:strCache>
                <c:ptCount val="7"/>
                <c:pt idx="0">
                  <c:v>R1</c:v>
                </c:pt>
                <c:pt idx="1">
                  <c:v>R2</c:v>
                </c:pt>
                <c:pt idx="2">
                  <c:v>R3</c:v>
                </c:pt>
                <c:pt idx="3">
                  <c:v>R4</c:v>
                </c:pt>
                <c:pt idx="4">
                  <c:v>R5</c:v>
                </c:pt>
                <c:pt idx="5">
                  <c:v>R6</c:v>
                </c:pt>
                <c:pt idx="6">
                  <c:v>R7</c:v>
                </c:pt>
              </c:strCache>
            </c:strRef>
          </c:cat>
          <c:val>
            <c:numRef>
              <c:f>'6.Excel_Summary'!$E$15:$E$21</c:f>
              <c:numCache>
                <c:formatCode>General</c:formatCode>
                <c:ptCount val="7"/>
                <c:pt idx="0">
                  <c:v>2</c:v>
                </c:pt>
                <c:pt idx="1">
                  <c:v>44</c:v>
                </c:pt>
                <c:pt idx="2">
                  <c:v>5</c:v>
                </c:pt>
                <c:pt idx="3">
                  <c:v>25</c:v>
                </c:pt>
                <c:pt idx="4">
                  <c:v>13</c:v>
                </c:pt>
                <c:pt idx="5">
                  <c:v>10</c:v>
                </c:pt>
                <c:pt idx="6">
                  <c:v>5</c:v>
                </c:pt>
              </c:numCache>
            </c:numRef>
          </c:val>
          <c:extLst>
            <c:ext xmlns:c16="http://schemas.microsoft.com/office/drawing/2014/chart" uri="{C3380CC4-5D6E-409C-BE32-E72D297353CC}">
              <c16:uniqueId val="{00000000-A3C9-48BB-A1B0-718D7D16B2B6}"/>
            </c:ext>
          </c:extLst>
        </c:ser>
        <c:dLbls>
          <c:dLblPos val="outEnd"/>
          <c:showLegendKey val="0"/>
          <c:showVal val="1"/>
          <c:showCatName val="0"/>
          <c:showSerName val="0"/>
          <c:showPercent val="0"/>
          <c:showBubbleSize val="0"/>
        </c:dLbls>
        <c:gapWidth val="173"/>
        <c:axId val="537304064"/>
        <c:axId val="537304544"/>
      </c:barChart>
      <c:catAx>
        <c:axId val="53730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Aptos" panose="020B0004020202020204" pitchFamily="34" charset="0"/>
                <a:ea typeface="+mn-ea"/>
                <a:cs typeface="+mn-cs"/>
              </a:defRPr>
            </a:pPr>
            <a:endParaRPr lang="en-US"/>
          </a:p>
        </c:txPr>
        <c:crossAx val="537304544"/>
        <c:crosses val="autoZero"/>
        <c:auto val="1"/>
        <c:lblAlgn val="ctr"/>
        <c:lblOffset val="100"/>
        <c:noMultiLvlLbl val="0"/>
      </c:catAx>
      <c:valAx>
        <c:axId val="53730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Aptos" panose="020B0004020202020204" pitchFamily="34" charset="0"/>
                <a:ea typeface="+mn-ea"/>
                <a:cs typeface="+mn-cs"/>
              </a:defRPr>
            </a:pPr>
            <a:endParaRPr lang="en-US"/>
          </a:p>
        </c:txPr>
        <c:crossAx val="53730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280553</xdr:colOff>
      <xdr:row>25</xdr:row>
      <xdr:rowOff>148936</xdr:rowOff>
    </xdr:from>
    <xdr:to>
      <xdr:col>3</xdr:col>
      <xdr:colOff>2417617</xdr:colOff>
      <xdr:row>43</xdr:row>
      <xdr:rowOff>20781</xdr:rowOff>
    </xdr:to>
    <xdr:graphicFrame macro="">
      <xdr:nvGraphicFramePr>
        <xdr:cNvPr id="6" name="Chart 5">
          <a:extLst>
            <a:ext uri="{FF2B5EF4-FFF2-40B4-BE49-F238E27FC236}">
              <a16:creationId xmlns:a16="http://schemas.microsoft.com/office/drawing/2014/main" id="{78E44639-6C08-7368-E91C-777EE62B8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646E6-EDBE-42ED-BFAF-D7A96A6A11D6}" name="tblTransactions" displayName="tblTransactions" ref="A1:O502" totalsRowShown="0" headerRowDxfId="25">
  <autoFilter ref="A1:O502" xr:uid="{BB3646E6-EDBE-42ED-BFAF-D7A96A6A11D6}"/>
  <tableColumns count="15">
    <tableColumn id="1" xr3:uid="{479F7907-879D-4AF7-8B50-D2B7D77B8733}" name="TransactionID"/>
    <tableColumn id="2" xr3:uid="{4403627B-2028-4AE4-873F-B0E888EC2FAA}" name="TransactionDate" dataDxfId="24"/>
    <tableColumn id="3" xr3:uid="{C277DFA6-402E-4246-81D8-82441EE319F5}" name="Branch"/>
    <tableColumn id="4" xr3:uid="{30C2FA46-0C31-411A-8890-21E7DB7E36DE}" name="Channel"/>
    <tableColumn id="5" xr3:uid="{3DF7E911-86FB-4094-8564-A5DAE9AE144A}" name="Amount" dataDxfId="23" dataCellStyle="Comma"/>
    <tableColumn id="6" xr3:uid="{0478233F-F815-4A48-86E9-8408081198AE}" name="TransactionStatus"/>
    <tableColumn id="7" xr3:uid="{A26B4356-342D-45AA-82D0-815BADDC40F6}" name="ApprovalID"/>
    <tableColumn id="8" xr3:uid="{AB930DC5-2379-4689-9877-A611F6A8727C}" name="CustomerRef"/>
    <tableColumn id="14" xr3:uid="{044B8A9A-38FE-44DF-A77D-7A7E6DF8CEDB}" name="Date" dataDxfId="22">
      <calculatedColumnFormula>INT(tblTransactions[[#This Row],[TransactionDate]])</calculatedColumnFormula>
    </tableColumn>
    <tableColumn id="9" xr3:uid="{C0A87004-5CE7-44EA-BC9D-40D1CFD3AA14}" name="R2_Exception" dataDxfId="21">
      <calculatedColumnFormula>IF(tblTransactions[[#This Row],[ApprovalID]]="", "R2 - Missing Approval Reference", "")</calculatedColumnFormula>
    </tableColumn>
    <tableColumn id="10" xr3:uid="{0DFB23F3-7EDE-4BEE-A252-A0BBE94EE30E}" name="R3_Exception" dataDxfId="20">
      <calculatedColumnFormula>IF(AND(tblTransactions[[#This Row],[ApprovalID]]&lt;&gt;"",COUNTIFS(tblApprovals[TransactionID],tblTransactions[[#This Row],[TransactionID]],tblApprovals[ApprovalID],tblTransactions[[#This Row],[ApprovalID]])=0),"R3 - Missing or Mismatched Approval Record", "")</calculatedColumnFormula>
    </tableColumn>
    <tableColumn id="11" xr3:uid="{4C7761CC-DC0C-47EA-A0A2-73D23E43C972}" name="R4_Exception" dataDxfId="19">
      <calculatedColumnFormula>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calculatedColumnFormula>
    </tableColumn>
    <tableColumn id="12" xr3:uid="{56ACF038-5264-40D6-BBE6-22611602B07A}" name="R5_Exception" dataDxfId="18">
      <calculatedColumnFormula>IF(AND(tblTransactions[[#This Row],[TransactionStatus]]="Success",COUNTIF(tblSettlement[TransactionID],tblTransactions[[#This Row],[TransactionID]])=0)," R5 - Successful Transaction Not Settled", "")</calculatedColumnFormula>
    </tableColumn>
    <tableColumn id="13" xr3:uid="{E0C284F5-F0DE-4C16-993F-AFFD3C15232F}" name="R6_Exception" dataDxfId="17">
      <calculatedColumnFormula>IF(AND(COUNTIF(tblSettlement[TransactionID],tblTransactions[[#This Row],[TransactionID]])&gt;0,tblTransactions[[#This Row],[Amount]]&lt;&gt;SUMIF(tblSettlement[TransactionID],tblTransactions[[#This Row],[TransactionID]],tblSettlement[SettledAmount]))," R6 - Settlement Amount Mismatch", "")</calculatedColumnFormula>
    </tableColumn>
    <tableColumn id="15" xr3:uid="{A6027CBA-1696-43FA-9C53-6776E9C9A97A}" name="R1_Exception" dataDxfId="16">
      <calculatedColumnFormula>IF(AND(tblTransactions[[#This Row],[CustomerRef]] &lt;&gt;"",COUNTIFS(tblTransactions[CustomerRef],tblTransactions[[#This Row],[CustomerRef]],tblTransactions[Amount],tblTransactions[[#This Row],[Amount]],tblTransactions[Date],tblTransactions[[#This Row],[Date]])&gt;1),"Yes","No")</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1870D3-69AF-436E-9B87-1E55523269A7}" name="tblSettlement" displayName="tblSettlement" ref="A1:F426" totalsRowShown="0" headerRowDxfId="15">
  <autoFilter ref="A1:F426" xr:uid="{0D1870D3-69AF-436E-9B87-1E55523269A7}"/>
  <tableColumns count="6">
    <tableColumn id="1" xr3:uid="{123706C6-FF8B-40D6-8274-9FA51E88AF34}" name="SettlementRef"/>
    <tableColumn id="2" xr3:uid="{39A42AE8-ADA5-4C67-A728-CF5222C89CCB}" name="TransactionID"/>
    <tableColumn id="3" xr3:uid="{0D6A1411-979D-48FF-9E19-698F0EFACCFC}" name="SettlementDate" dataDxfId="14"/>
    <tableColumn id="4" xr3:uid="{A57FD055-D81F-48DD-879E-B24C2052B681}" name="SettledAmount" dataDxfId="13" dataCellStyle="Comma"/>
    <tableColumn id="5" xr3:uid="{64C32B92-5B44-4CB9-AB9D-12A144B05FFD}" name="SettlementStatus"/>
    <tableColumn id="6" xr3:uid="{37543BF0-D1A7-4E79-9DE8-7D574D7AA1D1}" name="R7_Exception" dataDxfId="12">
      <calculatedColumnFormula>IF(AND(tblSettlement[[#This Row],[TransactionID]]&lt;&gt;"", COUNTIF(tblTransactions[TransactionID],tblSettlement[[#This Row],[TransactionID]])=0), " R7 - Orphan Settlement", "")</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855D76-4052-463A-9F02-BE0BAC704E8C}" name="tblApprovals" displayName="tblApprovals" ref="A1:E453" totalsRowShown="0" headerRowDxfId="11">
  <autoFilter ref="A1:E453" xr:uid="{4A855D76-4052-463A-9F02-BE0BAC704E8C}"/>
  <tableColumns count="5">
    <tableColumn id="1" xr3:uid="{59398E16-5782-4088-B50B-9C74C1A3D54D}" name="ApprovalID"/>
    <tableColumn id="2" xr3:uid="{05BCC06D-8E88-49B1-8A64-E2AE39F894F5}" name="TransactionID"/>
    <tableColumn id="3" xr3:uid="{FEC03E82-697B-4813-B75C-BC0603AB6022}" name="ApproverRole"/>
    <tableColumn id="4" xr3:uid="{AA5898B5-0361-4A0E-AF32-4C9A68EEE56C}" name="ApprovalStatus"/>
    <tableColumn id="5" xr3:uid="{A0E2C385-A6DD-44AE-AEBC-12FE5DEC14A1}" name="ApprovalDate" dataDxfId="10"/>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DAEDA2-1B07-454E-987A-882234A96B23}" name="tblExceptionDetails" displayName="tblExceptionDetails" ref="A4:J108" totalsRowShown="0" headerRowDxfId="9" dataDxfId="7" headerRowBorderDxfId="8" tableBorderDxfId="6">
  <autoFilter ref="A4:J108" xr:uid="{55DAEDA2-1B07-454E-987A-882234A96B23}"/>
  <tableColumns count="10">
    <tableColumn id="1" xr3:uid="{B4E42EE5-BC49-496A-A2B2-D48CA0AB5E8A}" name="RuleID"/>
    <tableColumn id="2" xr3:uid="{4B70193A-A8A0-4B38-B05E-BD35EB8A90E2}" name="ExceptionType"/>
    <tableColumn id="3" xr3:uid="{48C111C5-A19A-466D-855B-966EFB275EF8}" name="Transaction ID" dataDxfId="5"/>
    <tableColumn id="4" xr3:uid="{657DB776-CE11-4BDA-8A7D-7786B741288B}" name="CustomerRef" dataDxfId="4"/>
    <tableColumn id="5" xr3:uid="{7982D94E-7AEF-40E8-B083-26805A7B4448}" name="TransactionDate" dataDxfId="3"/>
    <tableColumn id="6" xr3:uid="{2A4E3C08-EA3E-499B-8BEB-46E20981D2CB}" name="Amount / SettledAmount" dataDxfId="2" dataCellStyle="Comma"/>
    <tableColumn id="7" xr3:uid="{C9FCEF1D-8181-45F9-B91A-C56C4C95D174}" name="TransactionStatus" dataDxfId="1"/>
    <tableColumn id="8" xr3:uid="{6758847B-5144-4BA8-AA36-275CBCFF56AB}" name="ApprovalID" dataDxfId="0"/>
    <tableColumn id="9" xr3:uid="{0638ACE0-0612-4B80-BC10-CE39E725C46F}" name="ReviewStatus"/>
    <tableColumn id="10" xr3:uid="{5D86E2E6-609D-4EAE-A02D-A9CF27A4CF42}" name="ReviewNotes"/>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381B5-6493-4239-9996-F58E66FF309B}">
  <dimension ref="A2:G55"/>
  <sheetViews>
    <sheetView showGridLines="0" tabSelected="1" zoomScale="126" zoomScaleNormal="126" workbookViewId="0">
      <selection activeCell="B10" sqref="B10:G10"/>
    </sheetView>
  </sheetViews>
  <sheetFormatPr defaultRowHeight="14.4" x14ac:dyDescent="0.3"/>
  <cols>
    <col min="1" max="1" width="23.6640625" customWidth="1"/>
    <col min="2" max="2" width="39.5546875" customWidth="1"/>
    <col min="3" max="3" width="44.88671875" customWidth="1"/>
    <col min="4" max="5" width="8.88671875" customWidth="1"/>
    <col min="7" max="7" width="14.5546875" customWidth="1"/>
    <col min="8" max="8" width="8.88671875" customWidth="1"/>
  </cols>
  <sheetData>
    <row r="2" spans="1:7" ht="18.600000000000001" thickBot="1" x14ac:dyDescent="0.4">
      <c r="A2" s="94" t="s">
        <v>1940</v>
      </c>
      <c r="B2" s="62"/>
    </row>
    <row r="3" spans="1:7" ht="15" thickBot="1" x14ac:dyDescent="0.35">
      <c r="A3" s="95" t="s">
        <v>1941</v>
      </c>
      <c r="B3" s="130" t="s">
        <v>1942</v>
      </c>
      <c r="C3" s="130"/>
      <c r="D3" s="130"/>
      <c r="E3" s="130"/>
      <c r="F3" s="130"/>
      <c r="G3" s="131"/>
    </row>
    <row r="4" spans="1:7" x14ac:dyDescent="0.3">
      <c r="A4" s="96" t="s">
        <v>1943</v>
      </c>
      <c r="B4" s="132" t="s">
        <v>1944</v>
      </c>
      <c r="C4" s="133"/>
      <c r="D4" s="133"/>
      <c r="E4" s="133"/>
      <c r="F4" s="133"/>
      <c r="G4" s="134"/>
    </row>
    <row r="5" spans="1:7" s="3" customFormat="1" ht="31.2" customHeight="1" x14ac:dyDescent="0.3">
      <c r="A5" s="97" t="s">
        <v>1945</v>
      </c>
      <c r="B5" s="135" t="s">
        <v>2028</v>
      </c>
      <c r="C5" s="136"/>
      <c r="D5" s="136"/>
      <c r="E5" s="136"/>
      <c r="F5" s="136"/>
      <c r="G5" s="137"/>
    </row>
    <row r="6" spans="1:7" ht="28.8" customHeight="1" x14ac:dyDescent="0.3">
      <c r="A6" s="98" t="s">
        <v>1946</v>
      </c>
      <c r="B6" s="135" t="s">
        <v>1947</v>
      </c>
      <c r="C6" s="136"/>
      <c r="D6" s="136"/>
      <c r="E6" s="136"/>
      <c r="F6" s="136"/>
      <c r="G6" s="137"/>
    </row>
    <row r="7" spans="1:7" x14ac:dyDescent="0.3">
      <c r="A7" s="99" t="s">
        <v>1948</v>
      </c>
      <c r="B7" s="118" t="s">
        <v>2022</v>
      </c>
      <c r="C7" s="119"/>
      <c r="D7" s="119"/>
      <c r="E7" s="119"/>
      <c r="F7" s="119"/>
      <c r="G7" s="120"/>
    </row>
    <row r="8" spans="1:7" x14ac:dyDescent="0.3">
      <c r="A8" s="99" t="s">
        <v>1949</v>
      </c>
      <c r="B8" s="118" t="s">
        <v>2023</v>
      </c>
      <c r="C8" s="119"/>
      <c r="D8" s="119"/>
      <c r="E8" s="119"/>
      <c r="F8" s="119"/>
      <c r="G8" s="120"/>
    </row>
    <row r="9" spans="1:7" x14ac:dyDescent="0.3">
      <c r="A9" s="99" t="s">
        <v>1950</v>
      </c>
      <c r="B9" s="118" t="s">
        <v>2024</v>
      </c>
      <c r="C9" s="119"/>
      <c r="D9" s="119"/>
      <c r="E9" s="119"/>
      <c r="F9" s="119"/>
      <c r="G9" s="120"/>
    </row>
    <row r="10" spans="1:7" ht="47.4" customHeight="1" x14ac:dyDescent="0.3">
      <c r="A10" s="97" t="s">
        <v>1951</v>
      </c>
      <c r="B10" s="121" t="s">
        <v>2043</v>
      </c>
      <c r="C10" s="122"/>
      <c r="D10" s="122"/>
      <c r="E10" s="122"/>
      <c r="F10" s="122"/>
      <c r="G10" s="123"/>
    </row>
    <row r="11" spans="1:7" ht="27.6" customHeight="1" x14ac:dyDescent="0.3">
      <c r="A11" s="97" t="s">
        <v>2019</v>
      </c>
      <c r="B11" s="121" t="s">
        <v>2031</v>
      </c>
      <c r="C11" s="122"/>
      <c r="D11" s="122"/>
      <c r="E11" s="122"/>
      <c r="F11" s="122"/>
      <c r="G11" s="123"/>
    </row>
    <row r="12" spans="1:7" ht="27" customHeight="1" thickBot="1" x14ac:dyDescent="0.35">
      <c r="A12" s="100" t="s">
        <v>2020</v>
      </c>
      <c r="B12" s="144" t="s">
        <v>2030</v>
      </c>
      <c r="C12" s="145"/>
      <c r="D12" s="145"/>
      <c r="E12" s="145"/>
      <c r="F12" s="145"/>
      <c r="G12" s="146"/>
    </row>
    <row r="14" spans="1:7" ht="18.600000000000001" thickBot="1" x14ac:dyDescent="0.4">
      <c r="A14" s="94" t="s">
        <v>1966</v>
      </c>
    </row>
    <row r="15" spans="1:7" ht="51.6" customHeight="1" x14ac:dyDescent="0.3">
      <c r="A15" s="124" t="s">
        <v>2025</v>
      </c>
      <c r="B15" s="125"/>
      <c r="C15" s="125"/>
      <c r="D15" s="125"/>
      <c r="E15" s="125"/>
      <c r="F15" s="125"/>
      <c r="G15" s="126"/>
    </row>
    <row r="16" spans="1:7" ht="78.599999999999994" customHeight="1" thickBot="1" x14ac:dyDescent="0.35">
      <c r="A16" s="127"/>
      <c r="B16" s="128"/>
      <c r="C16" s="128"/>
      <c r="D16" s="128"/>
      <c r="E16" s="128"/>
      <c r="F16" s="128"/>
      <c r="G16" s="129"/>
    </row>
    <row r="17" spans="1:7" ht="11.4" customHeight="1" x14ac:dyDescent="0.35">
      <c r="A17" s="7"/>
    </row>
    <row r="18" spans="1:7" ht="18.600000000000001" thickBot="1" x14ac:dyDescent="0.4">
      <c r="A18" s="94" t="s">
        <v>1967</v>
      </c>
    </row>
    <row r="19" spans="1:7" ht="46.2" customHeight="1" x14ac:dyDescent="0.3">
      <c r="A19" s="124" t="s">
        <v>2026</v>
      </c>
      <c r="B19" s="125"/>
      <c r="C19" s="125"/>
      <c r="D19" s="125"/>
      <c r="E19" s="125"/>
      <c r="F19" s="125"/>
      <c r="G19" s="126"/>
    </row>
    <row r="20" spans="1:7" ht="71.400000000000006" customHeight="1" thickBot="1" x14ac:dyDescent="0.35">
      <c r="A20" s="127"/>
      <c r="B20" s="128"/>
      <c r="C20" s="128"/>
      <c r="D20" s="128"/>
      <c r="E20" s="128"/>
      <c r="F20" s="128"/>
      <c r="G20" s="129"/>
    </row>
    <row r="21" spans="1:7" ht="12" customHeight="1" x14ac:dyDescent="0.35">
      <c r="A21" s="7"/>
    </row>
    <row r="22" spans="1:7" ht="18" customHeight="1" thickBot="1" x14ac:dyDescent="0.4">
      <c r="A22" s="94" t="s">
        <v>1968</v>
      </c>
    </row>
    <row r="23" spans="1:7" ht="35.4" customHeight="1" x14ac:dyDescent="0.3">
      <c r="A23" s="124" t="s">
        <v>2027</v>
      </c>
      <c r="B23" s="125"/>
      <c r="C23" s="125"/>
      <c r="D23" s="125"/>
      <c r="E23" s="125"/>
      <c r="F23" s="125"/>
      <c r="G23" s="126"/>
    </row>
    <row r="24" spans="1:7" ht="66" customHeight="1" thickBot="1" x14ac:dyDescent="0.35">
      <c r="A24" s="127"/>
      <c r="B24" s="128"/>
      <c r="C24" s="128"/>
      <c r="D24" s="128"/>
      <c r="E24" s="128"/>
      <c r="F24" s="128"/>
      <c r="G24" s="129"/>
    </row>
    <row r="25" spans="1:7" ht="15" customHeight="1" x14ac:dyDescent="0.35">
      <c r="A25" s="7"/>
    </row>
    <row r="26" spans="1:7" ht="18.600000000000001" customHeight="1" thickBot="1" x14ac:dyDescent="0.4">
      <c r="A26" s="94" t="s">
        <v>1969</v>
      </c>
    </row>
    <row r="27" spans="1:7" ht="13.2" customHeight="1" x14ac:dyDescent="0.3">
      <c r="A27" s="124" t="s">
        <v>2018</v>
      </c>
      <c r="B27" s="125"/>
      <c r="C27" s="125"/>
      <c r="D27" s="125"/>
      <c r="E27" s="125"/>
      <c r="F27" s="125"/>
      <c r="G27" s="126"/>
    </row>
    <row r="28" spans="1:7" ht="13.2" customHeight="1" x14ac:dyDescent="0.3">
      <c r="A28" s="13"/>
      <c r="B28" s="12"/>
      <c r="C28" s="12"/>
      <c r="D28" s="12"/>
      <c r="E28" s="12"/>
      <c r="F28" s="12"/>
      <c r="G28" s="14"/>
    </row>
    <row r="29" spans="1:7" ht="15" thickBot="1" x14ac:dyDescent="0.35">
      <c r="A29" s="15"/>
      <c r="B29" s="147" t="s">
        <v>1938</v>
      </c>
      <c r="C29" s="147"/>
      <c r="D29" s="147"/>
      <c r="G29" s="16"/>
    </row>
    <row r="30" spans="1:7" ht="15" thickBot="1" x14ac:dyDescent="0.35">
      <c r="A30" s="15"/>
      <c r="B30" s="101" t="s">
        <v>1925</v>
      </c>
      <c r="C30" s="102" t="s">
        <v>1959</v>
      </c>
      <c r="D30" s="103" t="s">
        <v>1926</v>
      </c>
      <c r="G30" s="16"/>
    </row>
    <row r="31" spans="1:7" x14ac:dyDescent="0.3">
      <c r="A31" s="15"/>
      <c r="B31" s="104" t="s">
        <v>1927</v>
      </c>
      <c r="C31" s="105" t="s">
        <v>1960</v>
      </c>
      <c r="D31" s="106">
        <v>501</v>
      </c>
      <c r="G31" s="16"/>
    </row>
    <row r="32" spans="1:7" ht="28.8" x14ac:dyDescent="0.3">
      <c r="A32" s="15"/>
      <c r="B32" s="107" t="s">
        <v>1928</v>
      </c>
      <c r="C32" s="108" t="s">
        <v>1961</v>
      </c>
      <c r="D32" s="109">
        <v>433</v>
      </c>
      <c r="G32" s="16"/>
    </row>
    <row r="33" spans="1:7" x14ac:dyDescent="0.3">
      <c r="A33" s="15"/>
      <c r="B33" s="107" t="s">
        <v>1929</v>
      </c>
      <c r="C33" s="110" t="s">
        <v>1962</v>
      </c>
      <c r="D33" s="109">
        <v>48</v>
      </c>
      <c r="G33" s="16"/>
    </row>
    <row r="34" spans="1:7" x14ac:dyDescent="0.3">
      <c r="A34" s="15"/>
      <c r="B34" s="107" t="s">
        <v>1930</v>
      </c>
      <c r="C34" s="110" t="s">
        <v>1963</v>
      </c>
      <c r="D34" s="109">
        <v>20</v>
      </c>
      <c r="G34" s="16"/>
    </row>
    <row r="35" spans="1:7" ht="70.2" customHeight="1" x14ac:dyDescent="0.3">
      <c r="A35" s="15"/>
      <c r="B35" s="107" t="s">
        <v>2029</v>
      </c>
      <c r="C35" s="111" t="s">
        <v>2032</v>
      </c>
      <c r="D35" s="112">
        <v>2</v>
      </c>
      <c r="G35" s="16"/>
    </row>
    <row r="36" spans="1:7" ht="28.8" x14ac:dyDescent="0.3">
      <c r="A36" s="15"/>
      <c r="B36" s="107" t="s">
        <v>1931</v>
      </c>
      <c r="C36" s="108" t="s">
        <v>1952</v>
      </c>
      <c r="D36" s="112">
        <v>44</v>
      </c>
      <c r="G36" s="16"/>
    </row>
    <row r="37" spans="1:7" ht="43.2" x14ac:dyDescent="0.3">
      <c r="A37" s="15"/>
      <c r="B37" s="107" t="s">
        <v>1932</v>
      </c>
      <c r="C37" s="108" t="s">
        <v>1953</v>
      </c>
      <c r="D37" s="112">
        <v>5</v>
      </c>
      <c r="G37" s="16"/>
    </row>
    <row r="38" spans="1:7" ht="28.8" x14ac:dyDescent="0.3">
      <c r="A38" s="15"/>
      <c r="B38" s="107" t="s">
        <v>1933</v>
      </c>
      <c r="C38" s="108" t="s">
        <v>1954</v>
      </c>
      <c r="D38" s="112">
        <v>25</v>
      </c>
      <c r="G38" s="16"/>
    </row>
    <row r="39" spans="1:7" ht="28.8" x14ac:dyDescent="0.3">
      <c r="A39" s="15"/>
      <c r="B39" s="107" t="s">
        <v>1934</v>
      </c>
      <c r="C39" s="108" t="s">
        <v>1955</v>
      </c>
      <c r="D39" s="112">
        <v>13</v>
      </c>
      <c r="G39" s="16"/>
    </row>
    <row r="40" spans="1:7" ht="28.8" x14ac:dyDescent="0.3">
      <c r="A40" s="15"/>
      <c r="B40" s="107" t="s">
        <v>1935</v>
      </c>
      <c r="C40" s="108" t="s">
        <v>1956</v>
      </c>
      <c r="D40" s="109">
        <v>10</v>
      </c>
      <c r="G40" s="16"/>
    </row>
    <row r="41" spans="1:7" ht="28.8" x14ac:dyDescent="0.3">
      <c r="A41" s="15"/>
      <c r="B41" s="107" t="s">
        <v>1936</v>
      </c>
      <c r="C41" s="111" t="s">
        <v>1958</v>
      </c>
      <c r="D41" s="109">
        <v>0</v>
      </c>
      <c r="G41" s="16"/>
    </row>
    <row r="42" spans="1:7" ht="29.4" thickBot="1" x14ac:dyDescent="0.35">
      <c r="A42" s="15"/>
      <c r="B42" s="113" t="s">
        <v>1937</v>
      </c>
      <c r="C42" s="114" t="s">
        <v>1957</v>
      </c>
      <c r="D42" s="115">
        <v>5</v>
      </c>
      <c r="G42" s="16"/>
    </row>
    <row r="43" spans="1:7" ht="15" thickBot="1" x14ac:dyDescent="0.35">
      <c r="A43" s="17"/>
      <c r="B43" s="11"/>
      <c r="C43" s="11"/>
      <c r="D43" s="11"/>
      <c r="E43" s="11"/>
      <c r="F43" s="11"/>
      <c r="G43" s="18"/>
    </row>
    <row r="44" spans="1:7" ht="7.2" customHeight="1" x14ac:dyDescent="0.3"/>
    <row r="45" spans="1:7" s="3" customFormat="1" ht="20.399999999999999" customHeight="1" thickBot="1" x14ac:dyDescent="0.4">
      <c r="A45" s="94" t="s">
        <v>1964</v>
      </c>
    </row>
    <row r="46" spans="1:7" ht="74.400000000000006" customHeight="1" x14ac:dyDescent="0.3">
      <c r="A46" s="138" t="s">
        <v>1965</v>
      </c>
      <c r="B46" s="139"/>
      <c r="C46" s="139"/>
      <c r="D46" s="139"/>
      <c r="E46" s="139"/>
      <c r="F46" s="139"/>
      <c r="G46" s="140"/>
    </row>
    <row r="47" spans="1:7" ht="15" customHeight="1" thickBot="1" x14ac:dyDescent="0.35">
      <c r="A47" s="141"/>
      <c r="B47" s="142"/>
      <c r="C47" s="142"/>
      <c r="D47" s="142"/>
      <c r="E47" s="142"/>
      <c r="F47" s="142"/>
      <c r="G47" s="143"/>
    </row>
    <row r="48" spans="1:7" ht="8.4" customHeight="1" x14ac:dyDescent="0.3">
      <c r="B48" s="10"/>
      <c r="C48" s="10"/>
    </row>
    <row r="49" spans="1:7" ht="18.600000000000001" thickBot="1" x14ac:dyDescent="0.4">
      <c r="A49" s="94" t="s">
        <v>2016</v>
      </c>
      <c r="B49" s="10"/>
      <c r="C49" s="10"/>
    </row>
    <row r="50" spans="1:7" ht="57" customHeight="1" x14ac:dyDescent="0.3">
      <c r="A50" s="138" t="s">
        <v>2044</v>
      </c>
      <c r="B50" s="139"/>
      <c r="C50" s="139"/>
      <c r="D50" s="139"/>
      <c r="E50" s="139"/>
      <c r="F50" s="139"/>
      <c r="G50" s="140"/>
    </row>
    <row r="51" spans="1:7" ht="96" customHeight="1" thickBot="1" x14ac:dyDescent="0.35">
      <c r="A51" s="141"/>
      <c r="B51" s="142"/>
      <c r="C51" s="142"/>
      <c r="D51" s="142"/>
      <c r="E51" s="142"/>
      <c r="F51" s="142"/>
      <c r="G51" s="143"/>
    </row>
    <row r="52" spans="1:7" x14ac:dyDescent="0.3">
      <c r="B52" s="10"/>
      <c r="C52" s="10"/>
    </row>
    <row r="53" spans="1:7" ht="18.600000000000001" thickBot="1" x14ac:dyDescent="0.4">
      <c r="A53" s="94" t="s">
        <v>2017</v>
      </c>
      <c r="B53" s="10"/>
      <c r="C53" s="10"/>
    </row>
    <row r="54" spans="1:7" ht="78" customHeight="1" x14ac:dyDescent="0.3">
      <c r="A54" s="138" t="s">
        <v>2045</v>
      </c>
      <c r="B54" s="139"/>
      <c r="C54" s="139"/>
      <c r="D54" s="139"/>
      <c r="E54" s="139"/>
      <c r="F54" s="139"/>
      <c r="G54" s="140"/>
    </row>
    <row r="55" spans="1:7" ht="111.6" customHeight="1" thickBot="1" x14ac:dyDescent="0.35">
      <c r="A55" s="141"/>
      <c r="B55" s="142"/>
      <c r="C55" s="142"/>
      <c r="D55" s="142"/>
      <c r="E55" s="142"/>
      <c r="F55" s="142"/>
      <c r="G55" s="143"/>
    </row>
  </sheetData>
  <mergeCells count="18">
    <mergeCell ref="A46:G47"/>
    <mergeCell ref="A50:G51"/>
    <mergeCell ref="A54:G55"/>
    <mergeCell ref="B12:G12"/>
    <mergeCell ref="B29:D29"/>
    <mergeCell ref="A19:G20"/>
    <mergeCell ref="A23:G24"/>
    <mergeCell ref="A27:G27"/>
    <mergeCell ref="B3:G3"/>
    <mergeCell ref="B4:G4"/>
    <mergeCell ref="B5:G5"/>
    <mergeCell ref="B6:G6"/>
    <mergeCell ref="B7:G7"/>
    <mergeCell ref="B8:G8"/>
    <mergeCell ref="B9:G9"/>
    <mergeCell ref="B10:G10"/>
    <mergeCell ref="B11:G11"/>
    <mergeCell ref="A15:G16"/>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2"/>
  <sheetViews>
    <sheetView topLeftCell="E1" workbookViewId="0">
      <selection activeCell="O2" sqref="O2"/>
    </sheetView>
  </sheetViews>
  <sheetFormatPr defaultRowHeight="14.4" x14ac:dyDescent="0.3"/>
  <cols>
    <col min="1" max="1" width="14.77734375" bestFit="1" customWidth="1"/>
    <col min="2" max="2" width="17" bestFit="1" customWidth="1"/>
    <col min="3" max="3" width="9.109375" bestFit="1" customWidth="1"/>
    <col min="4" max="4" width="10.109375" bestFit="1" customWidth="1"/>
    <col min="5" max="5" width="10.88671875" bestFit="1" customWidth="1"/>
    <col min="6" max="6" width="18.33203125" bestFit="1" customWidth="1"/>
    <col min="7" max="7" width="12.6640625" bestFit="1" customWidth="1"/>
    <col min="8" max="8" width="14.109375" bestFit="1" customWidth="1"/>
    <col min="9" max="9" width="14.109375" customWidth="1"/>
    <col min="10" max="10" width="27.5546875" bestFit="1" customWidth="1"/>
    <col min="11" max="12" width="15.44140625" bestFit="1" customWidth="1"/>
    <col min="13" max="13" width="33.77734375" bestFit="1" customWidth="1"/>
    <col min="14" max="14" width="29.88671875" bestFit="1" customWidth="1"/>
    <col min="15" max="15" width="14.5546875" bestFit="1" customWidth="1"/>
  </cols>
  <sheetData>
    <row r="1" spans="1:15" x14ac:dyDescent="0.3">
      <c r="A1" s="1" t="s">
        <v>0</v>
      </c>
      <c r="B1" s="1" t="s">
        <v>1</v>
      </c>
      <c r="C1" s="1" t="s">
        <v>2</v>
      </c>
      <c r="D1" s="1" t="s">
        <v>3</v>
      </c>
      <c r="E1" s="1" t="s">
        <v>4</v>
      </c>
      <c r="F1" s="1" t="s">
        <v>5</v>
      </c>
      <c r="G1" s="1" t="s">
        <v>6</v>
      </c>
      <c r="H1" s="1" t="s">
        <v>7</v>
      </c>
      <c r="I1" s="1" t="s">
        <v>2033</v>
      </c>
      <c r="J1" s="1" t="s">
        <v>1996</v>
      </c>
      <c r="K1" s="1" t="s">
        <v>1997</v>
      </c>
      <c r="L1" s="1" t="s">
        <v>1998</v>
      </c>
      <c r="M1" s="1" t="s">
        <v>1999</v>
      </c>
      <c r="N1" s="1" t="s">
        <v>2000</v>
      </c>
      <c r="O1" s="1" t="s">
        <v>2034</v>
      </c>
    </row>
    <row r="2" spans="1:15" x14ac:dyDescent="0.3">
      <c r="A2" t="s">
        <v>8</v>
      </c>
      <c r="B2" s="2">
        <v>46285.375694444447</v>
      </c>
      <c r="C2" t="s">
        <v>9</v>
      </c>
      <c r="D2" t="s">
        <v>10</v>
      </c>
      <c r="E2" s="6">
        <v>55680.9</v>
      </c>
      <c r="F2" t="s">
        <v>11</v>
      </c>
      <c r="G2" t="s">
        <v>12</v>
      </c>
      <c r="H2" t="s">
        <v>13</v>
      </c>
      <c r="I2" s="116">
        <f>INT(tblTransactions[[#This Row],[TransactionDate]])</f>
        <v>46285</v>
      </c>
      <c r="J2" t="str">
        <f>IF(tblTransactions[[#This Row],[ApprovalID]]="", "R2 - Missing Approval Reference", "")</f>
        <v/>
      </c>
      <c r="K2" t="str">
        <f>IF(AND(tblTransactions[[#This Row],[ApprovalID]]&lt;&gt;"",COUNTIFS(tblApprovals[TransactionID],tblTransactions[[#This Row],[TransactionID]],tblApprovals[ApprovalID],tblTransactions[[#This Row],[ApprovalID]])=0),"R3 - Missing or Mismatched Approval Record", "")</f>
        <v/>
      </c>
      <c r="L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 t="str">
        <f>IF(AND(tblTransactions[[#This Row],[TransactionStatus]]="Success",COUNTIF(tblSettlement[TransactionID],tblTransactions[[#This Row],[TransactionID]])=0)," R5 - Successful Transaction Not Settled", "")</f>
        <v/>
      </c>
      <c r="N2" t="str">
        <f>IF(AND(COUNTIF(tblSettlement[TransactionID],tblTransactions[[#This Row],[TransactionID]])&gt;0,tblTransactions[[#This Row],[Amount]]&lt;&gt;SUMIF(tblSettlement[TransactionID],tblTransactions[[#This Row],[TransactionID]],tblSettlement[SettledAmount]))," R6 - Settlement Amount Mismatch", "")</f>
        <v/>
      </c>
      <c r="O2" t="str">
        <f>IF(AND(tblTransactions[[#This Row],[CustomerRef]] &lt;&gt;"",COUNTIFS(tblTransactions[CustomerRef],tblTransactions[[#This Row],[CustomerRef]],tblTransactions[Amount],tblTransactions[[#This Row],[Amount]],tblTransactions[Date],tblTransactions[[#This Row],[Date]])&gt;1),"Yes","No")</f>
        <v>No</v>
      </c>
    </row>
    <row r="3" spans="1:15" x14ac:dyDescent="0.3">
      <c r="A3" t="s">
        <v>14</v>
      </c>
      <c r="B3" s="2">
        <v>46215.727083333331</v>
      </c>
      <c r="C3" t="s">
        <v>9</v>
      </c>
      <c r="D3" t="s">
        <v>15</v>
      </c>
      <c r="E3" s="6">
        <v>2625.76</v>
      </c>
      <c r="F3" t="s">
        <v>11</v>
      </c>
      <c r="G3" t="s">
        <v>16</v>
      </c>
      <c r="H3" t="s">
        <v>17</v>
      </c>
      <c r="I3" s="116">
        <f>INT(tblTransactions[[#This Row],[TransactionDate]])</f>
        <v>46215</v>
      </c>
      <c r="J3" t="str">
        <f>IF(tblTransactions[[#This Row],[ApprovalID]]="", "R2 - Missing Approval Reference", "")</f>
        <v/>
      </c>
      <c r="K3" t="str">
        <f>IF(AND(tblTransactions[[#This Row],[ApprovalID]]&lt;&gt;"",COUNTIFS(tblApprovals[TransactionID],tblTransactions[[#This Row],[TransactionID]],tblApprovals[ApprovalID],tblTransactions[[#This Row],[ApprovalID]])=0),"R3 - Missing or Mismatched Approval Record", "")</f>
        <v/>
      </c>
      <c r="L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 t="str">
        <f>IF(AND(tblTransactions[[#This Row],[TransactionStatus]]="Success",COUNTIF(tblSettlement[TransactionID],tblTransactions[[#This Row],[TransactionID]])=0)," R5 - Successful Transaction Not Settled", "")</f>
        <v/>
      </c>
      <c r="N3" t="str">
        <f>IF(AND(COUNTIF(tblSettlement[TransactionID],tblTransactions[[#This Row],[TransactionID]])&gt;0,tblTransactions[[#This Row],[Amount]]&lt;&gt;SUMIF(tblSettlement[TransactionID],tblTransactions[[#This Row],[TransactionID]],tblSettlement[SettledAmount]))," R6 - Settlement Amount Mismatch", "")</f>
        <v/>
      </c>
      <c r="O3" t="str">
        <f>IF(AND(tblTransactions[[#This Row],[CustomerRef]] &lt;&gt;"",COUNTIFS(tblTransactions[CustomerRef],tblTransactions[[#This Row],[CustomerRef]],tblTransactions[Amount],tblTransactions[[#This Row],[Amount]],tblTransactions[Date],tblTransactions[[#This Row],[Date]])&gt;1),"Yes","No")</f>
        <v>No</v>
      </c>
    </row>
    <row r="4" spans="1:15" x14ac:dyDescent="0.3">
      <c r="A4" t="s">
        <v>18</v>
      </c>
      <c r="B4" s="2">
        <v>46295.780555555553</v>
      </c>
      <c r="C4" t="s">
        <v>19</v>
      </c>
      <c r="D4" t="s">
        <v>20</v>
      </c>
      <c r="E4" s="6">
        <v>40984.379999999997</v>
      </c>
      <c r="F4" t="s">
        <v>11</v>
      </c>
      <c r="G4" t="s">
        <v>21</v>
      </c>
      <c r="H4" t="s">
        <v>22</v>
      </c>
      <c r="I4" s="116">
        <f>INT(tblTransactions[[#This Row],[TransactionDate]])</f>
        <v>46295</v>
      </c>
      <c r="J4" t="str">
        <f>IF(tblTransactions[[#This Row],[ApprovalID]]="", "R2 - Missing Approval Reference", "")</f>
        <v/>
      </c>
      <c r="K4" t="str">
        <f>IF(AND(tblTransactions[[#This Row],[ApprovalID]]&lt;&gt;"",COUNTIFS(tblApprovals[TransactionID],tblTransactions[[#This Row],[TransactionID]],tblApprovals[ApprovalID],tblTransactions[[#This Row],[ApprovalID]])=0),"R3 - Missing or Mismatched Approval Record", "")</f>
        <v/>
      </c>
      <c r="L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 t="str">
        <f>IF(AND(tblTransactions[[#This Row],[TransactionStatus]]="Success",COUNTIF(tblSettlement[TransactionID],tblTransactions[[#This Row],[TransactionID]])=0)," R5 - Successful Transaction Not Settled", "")</f>
        <v/>
      </c>
      <c r="N4" t="str">
        <f>IF(AND(COUNTIF(tblSettlement[TransactionID],tblTransactions[[#This Row],[TransactionID]])&gt;0,tblTransactions[[#This Row],[Amount]]&lt;&gt;SUMIF(tblSettlement[TransactionID],tblTransactions[[#This Row],[TransactionID]],tblSettlement[SettledAmount]))," R6 - Settlement Amount Mismatch", "")</f>
        <v/>
      </c>
      <c r="O4" t="str">
        <f>IF(AND(tblTransactions[[#This Row],[CustomerRef]] &lt;&gt;"",COUNTIFS(tblTransactions[CustomerRef],tblTransactions[[#This Row],[CustomerRef]],tblTransactions[Amount],tblTransactions[[#This Row],[Amount]],tblTransactions[Date],tblTransactions[[#This Row],[Date]])&gt;1),"Yes","No")</f>
        <v>No</v>
      </c>
    </row>
    <row r="5" spans="1:15" x14ac:dyDescent="0.3">
      <c r="A5" t="s">
        <v>23</v>
      </c>
      <c r="B5" s="2">
        <v>46224.810416666667</v>
      </c>
      <c r="C5" t="s">
        <v>24</v>
      </c>
      <c r="D5" t="s">
        <v>10</v>
      </c>
      <c r="E5" s="6">
        <v>25683.73</v>
      </c>
      <c r="F5" t="s">
        <v>11</v>
      </c>
      <c r="G5" t="s">
        <v>25</v>
      </c>
      <c r="H5" t="s">
        <v>26</v>
      </c>
      <c r="I5" s="116">
        <f>INT(tblTransactions[[#This Row],[TransactionDate]])</f>
        <v>46224</v>
      </c>
      <c r="J5" t="str">
        <f>IF(tblTransactions[[#This Row],[ApprovalID]]="", "R2 - Missing Approval Reference", "")</f>
        <v/>
      </c>
      <c r="K5" t="str">
        <f>IF(AND(tblTransactions[[#This Row],[ApprovalID]]&lt;&gt;"",COUNTIFS(tblApprovals[TransactionID],tblTransactions[[#This Row],[TransactionID]],tblApprovals[ApprovalID],tblTransactions[[#This Row],[ApprovalID]])=0),"R3 - Missing or Mismatched Approval Record", "")</f>
        <v/>
      </c>
      <c r="L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 t="str">
        <f>IF(AND(tblTransactions[[#This Row],[TransactionStatus]]="Success",COUNTIF(tblSettlement[TransactionID],tblTransactions[[#This Row],[TransactionID]])=0)," R5 - Successful Transaction Not Settled", "")</f>
        <v/>
      </c>
      <c r="N5" t="str">
        <f>IF(AND(COUNTIF(tblSettlement[TransactionID],tblTransactions[[#This Row],[TransactionID]])&gt;0,tblTransactions[[#This Row],[Amount]]&lt;&gt;SUMIF(tblSettlement[TransactionID],tblTransactions[[#This Row],[TransactionID]],tblSettlement[SettledAmount]))," R6 - Settlement Amount Mismatch", "")</f>
        <v/>
      </c>
      <c r="O5" t="str">
        <f>IF(AND(tblTransactions[[#This Row],[CustomerRef]] &lt;&gt;"",COUNTIFS(tblTransactions[CustomerRef],tblTransactions[[#This Row],[CustomerRef]],tblTransactions[Amount],tblTransactions[[#This Row],[Amount]],tblTransactions[Date],tblTransactions[[#This Row],[Date]])&gt;1),"Yes","No")</f>
        <v>No</v>
      </c>
    </row>
    <row r="6" spans="1:15" x14ac:dyDescent="0.3">
      <c r="A6" t="s">
        <v>27</v>
      </c>
      <c r="B6" s="2">
        <v>46249.890277777777</v>
      </c>
      <c r="C6" t="s">
        <v>28</v>
      </c>
      <c r="D6" t="s">
        <v>29</v>
      </c>
      <c r="E6" s="6">
        <v>45378.52</v>
      </c>
      <c r="F6" t="s">
        <v>11</v>
      </c>
      <c r="G6" t="s">
        <v>30</v>
      </c>
      <c r="H6" t="s">
        <v>31</v>
      </c>
      <c r="I6" s="116">
        <f>INT(tblTransactions[[#This Row],[TransactionDate]])</f>
        <v>46249</v>
      </c>
      <c r="J6" t="str">
        <f>IF(tblTransactions[[#This Row],[ApprovalID]]="", "R2 - Missing Approval Reference", "")</f>
        <v/>
      </c>
      <c r="K6" t="str">
        <f>IF(AND(tblTransactions[[#This Row],[ApprovalID]]&lt;&gt;"",COUNTIFS(tblApprovals[TransactionID],tblTransactions[[#This Row],[TransactionID]],tblApprovals[ApprovalID],tblTransactions[[#This Row],[ApprovalID]])=0),"R3 - Missing or Mismatched Approval Record", "")</f>
        <v/>
      </c>
      <c r="L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 t="str">
        <f>IF(AND(tblTransactions[[#This Row],[TransactionStatus]]="Success",COUNTIF(tblSettlement[TransactionID],tblTransactions[[#This Row],[TransactionID]])=0)," R5 - Successful Transaction Not Settled", "")</f>
        <v/>
      </c>
      <c r="N6" t="str">
        <f>IF(AND(COUNTIF(tblSettlement[TransactionID],tblTransactions[[#This Row],[TransactionID]])&gt;0,tblTransactions[[#This Row],[Amount]]&lt;&gt;SUMIF(tblSettlement[TransactionID],tblTransactions[[#This Row],[TransactionID]],tblSettlement[SettledAmount]))," R6 - Settlement Amount Mismatch", "")</f>
        <v/>
      </c>
      <c r="O6" t="str">
        <f>IF(AND(tblTransactions[[#This Row],[CustomerRef]] &lt;&gt;"",COUNTIFS(tblTransactions[CustomerRef],tblTransactions[[#This Row],[CustomerRef]],tblTransactions[Amount],tblTransactions[[#This Row],[Amount]],tblTransactions[Date],tblTransactions[[#This Row],[Date]])&gt;1),"Yes","No")</f>
        <v>No</v>
      </c>
    </row>
    <row r="7" spans="1:15" x14ac:dyDescent="0.3">
      <c r="A7" t="s">
        <v>32</v>
      </c>
      <c r="B7" s="2">
        <v>46214.679166666669</v>
      </c>
      <c r="C7" t="s">
        <v>24</v>
      </c>
      <c r="D7" t="s">
        <v>15</v>
      </c>
      <c r="E7" s="6">
        <v>62248</v>
      </c>
      <c r="F7" t="s">
        <v>11</v>
      </c>
      <c r="G7" t="s">
        <v>33</v>
      </c>
      <c r="H7" t="s">
        <v>34</v>
      </c>
      <c r="I7" s="116">
        <f>INT(tblTransactions[[#This Row],[TransactionDate]])</f>
        <v>46214</v>
      </c>
      <c r="J7" t="str">
        <f>IF(tblTransactions[[#This Row],[ApprovalID]]="", "R2 - Missing Approval Reference", "")</f>
        <v/>
      </c>
      <c r="K7" t="str">
        <f>IF(AND(tblTransactions[[#This Row],[ApprovalID]]&lt;&gt;"",COUNTIFS(tblApprovals[TransactionID],tblTransactions[[#This Row],[TransactionID]],tblApprovals[ApprovalID],tblTransactions[[#This Row],[ApprovalID]])=0),"R3 - Missing or Mismatched Approval Record", "")</f>
        <v/>
      </c>
      <c r="L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 t="str">
        <f>IF(AND(tblTransactions[[#This Row],[TransactionStatus]]="Success",COUNTIF(tblSettlement[TransactionID],tblTransactions[[#This Row],[TransactionID]])=0)," R5 - Successful Transaction Not Settled", "")</f>
        <v/>
      </c>
      <c r="N7" t="str">
        <f>IF(AND(COUNTIF(tblSettlement[TransactionID],tblTransactions[[#This Row],[TransactionID]])&gt;0,tblTransactions[[#This Row],[Amount]]&lt;&gt;SUMIF(tblSettlement[TransactionID],tblTransactions[[#This Row],[TransactionID]],tblSettlement[SettledAmount]))," R6 - Settlement Amount Mismatch", "")</f>
        <v/>
      </c>
      <c r="O7" t="str">
        <f>IF(AND(tblTransactions[[#This Row],[CustomerRef]] &lt;&gt;"",COUNTIFS(tblTransactions[CustomerRef],tblTransactions[[#This Row],[CustomerRef]],tblTransactions[Amount],tblTransactions[[#This Row],[Amount]],tblTransactions[Date],tblTransactions[[#This Row],[Date]])&gt;1),"Yes","No")</f>
        <v>No</v>
      </c>
    </row>
    <row r="8" spans="1:15" x14ac:dyDescent="0.3">
      <c r="A8" t="s">
        <v>35</v>
      </c>
      <c r="B8" s="2">
        <v>46209.759722222225</v>
      </c>
      <c r="C8" t="s">
        <v>9</v>
      </c>
      <c r="D8" t="s">
        <v>10</v>
      </c>
      <c r="E8" s="6">
        <v>58036.86</v>
      </c>
      <c r="F8" t="s">
        <v>36</v>
      </c>
      <c r="G8" t="s">
        <v>37</v>
      </c>
      <c r="H8" t="s">
        <v>38</v>
      </c>
      <c r="I8" s="116">
        <f>INT(tblTransactions[[#This Row],[TransactionDate]])</f>
        <v>46209</v>
      </c>
      <c r="J8" t="str">
        <f>IF(tblTransactions[[#This Row],[ApprovalID]]="", "R2 - Missing Approval Reference", "")</f>
        <v/>
      </c>
      <c r="K8" t="str">
        <f>IF(AND(tblTransactions[[#This Row],[ApprovalID]]&lt;&gt;"",COUNTIFS(tblApprovals[TransactionID],tblTransactions[[#This Row],[TransactionID]],tblApprovals[ApprovalID],tblTransactions[[#This Row],[ApprovalID]])=0),"R3 - Missing or Mismatched Approval Record", "")</f>
        <v/>
      </c>
      <c r="L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 t="str">
        <f>IF(AND(tblTransactions[[#This Row],[TransactionStatus]]="Success",COUNTIF(tblSettlement[TransactionID],tblTransactions[[#This Row],[TransactionID]])=0)," R5 - Successful Transaction Not Settled", "")</f>
        <v/>
      </c>
      <c r="N8" t="str">
        <f>IF(AND(COUNTIF(tblSettlement[TransactionID],tblTransactions[[#This Row],[TransactionID]])&gt;0,tblTransactions[[#This Row],[Amount]]&lt;&gt;SUMIF(tblSettlement[TransactionID],tblTransactions[[#This Row],[TransactionID]],tblSettlement[SettledAmount]))," R6 - Settlement Amount Mismatch", "")</f>
        <v/>
      </c>
      <c r="O8" t="str">
        <f>IF(AND(tblTransactions[[#This Row],[CustomerRef]] &lt;&gt;"",COUNTIFS(tblTransactions[CustomerRef],tblTransactions[[#This Row],[CustomerRef]],tblTransactions[Amount],tblTransactions[[#This Row],[Amount]],tblTransactions[Date],tblTransactions[[#This Row],[Date]])&gt;1),"Yes","No")</f>
        <v>No</v>
      </c>
    </row>
    <row r="9" spans="1:15" x14ac:dyDescent="0.3">
      <c r="A9" t="s">
        <v>39</v>
      </c>
      <c r="B9" s="2">
        <v>46285.890972222223</v>
      </c>
      <c r="C9" t="s">
        <v>28</v>
      </c>
      <c r="D9" t="s">
        <v>20</v>
      </c>
      <c r="E9" s="6">
        <v>12408.39</v>
      </c>
      <c r="F9" t="s">
        <v>11</v>
      </c>
      <c r="G9" t="s">
        <v>40</v>
      </c>
      <c r="H9" t="s">
        <v>41</v>
      </c>
      <c r="I9" s="116">
        <f>INT(tblTransactions[[#This Row],[TransactionDate]])</f>
        <v>46285</v>
      </c>
      <c r="J9" t="str">
        <f>IF(tblTransactions[[#This Row],[ApprovalID]]="", "R2 - Missing Approval Reference", "")</f>
        <v/>
      </c>
      <c r="K9" t="str">
        <f>IF(AND(tblTransactions[[#This Row],[ApprovalID]]&lt;&gt;"",COUNTIFS(tblApprovals[TransactionID],tblTransactions[[#This Row],[TransactionID]],tblApprovals[ApprovalID],tblTransactions[[#This Row],[ApprovalID]])=0),"R3 - Missing or Mismatched Approval Record", "")</f>
        <v/>
      </c>
      <c r="L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 t="str">
        <f>IF(AND(tblTransactions[[#This Row],[TransactionStatus]]="Success",COUNTIF(tblSettlement[TransactionID],tblTransactions[[#This Row],[TransactionID]])=0)," R5 - Successful Transaction Not Settled", "")</f>
        <v/>
      </c>
      <c r="N9" t="str">
        <f>IF(AND(COUNTIF(tblSettlement[TransactionID],tblTransactions[[#This Row],[TransactionID]])&gt;0,tblTransactions[[#This Row],[Amount]]&lt;&gt;SUMIF(tblSettlement[TransactionID],tblTransactions[[#This Row],[TransactionID]],tblSettlement[SettledAmount]))," R6 - Settlement Amount Mismatch", "")</f>
        <v/>
      </c>
      <c r="O9" t="str">
        <f>IF(AND(tblTransactions[[#This Row],[CustomerRef]] &lt;&gt;"",COUNTIFS(tblTransactions[CustomerRef],tblTransactions[[#This Row],[CustomerRef]],tblTransactions[Amount],tblTransactions[[#This Row],[Amount]],tblTransactions[Date],tblTransactions[[#This Row],[Date]])&gt;1),"Yes","No")</f>
        <v>No</v>
      </c>
    </row>
    <row r="10" spans="1:15" x14ac:dyDescent="0.3">
      <c r="A10" t="s">
        <v>42</v>
      </c>
      <c r="B10" s="2">
        <v>46281.756944444445</v>
      </c>
      <c r="C10" t="s">
        <v>43</v>
      </c>
      <c r="D10" t="s">
        <v>29</v>
      </c>
      <c r="E10" s="6">
        <v>40176.959999999999</v>
      </c>
      <c r="F10" t="s">
        <v>11</v>
      </c>
      <c r="G10" t="s">
        <v>44</v>
      </c>
      <c r="H10" t="s">
        <v>45</v>
      </c>
      <c r="I10" s="116">
        <f>INT(tblTransactions[[#This Row],[TransactionDate]])</f>
        <v>46281</v>
      </c>
      <c r="J10" t="str">
        <f>IF(tblTransactions[[#This Row],[ApprovalID]]="", "R2 - Missing Approval Reference", "")</f>
        <v/>
      </c>
      <c r="K10" t="str">
        <f>IF(AND(tblTransactions[[#This Row],[ApprovalID]]&lt;&gt;"",COUNTIFS(tblApprovals[TransactionID],tblTransactions[[#This Row],[TransactionID]],tblApprovals[ApprovalID],tblTransactions[[#This Row],[ApprovalID]])=0),"R3 - Missing or Mismatched Approval Record", "")</f>
        <v/>
      </c>
      <c r="L1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 t="str">
        <f>IF(AND(tblTransactions[[#This Row],[TransactionStatus]]="Success",COUNTIF(tblSettlement[TransactionID],tblTransactions[[#This Row],[TransactionID]])=0)," R5 - Successful Transaction Not Settled", "")</f>
        <v/>
      </c>
      <c r="N10" t="str">
        <f>IF(AND(COUNTIF(tblSettlement[TransactionID],tblTransactions[[#This Row],[TransactionID]])&gt;0,tblTransactions[[#This Row],[Amount]]&lt;&gt;SUMIF(tblSettlement[TransactionID],tblTransactions[[#This Row],[TransactionID]],tblSettlement[SettledAmount]))," R6 - Settlement Amount Mismatch", "")</f>
        <v/>
      </c>
      <c r="O10" t="str">
        <f>IF(AND(tblTransactions[[#This Row],[CustomerRef]] &lt;&gt;"",COUNTIFS(tblTransactions[CustomerRef],tblTransactions[[#This Row],[CustomerRef]],tblTransactions[Amount],tblTransactions[[#This Row],[Amount]],tblTransactions[Date],tblTransactions[[#This Row],[Date]])&gt;1),"Yes","No")</f>
        <v>No</v>
      </c>
    </row>
    <row r="11" spans="1:15" x14ac:dyDescent="0.3">
      <c r="A11" t="s">
        <v>46</v>
      </c>
      <c r="B11" s="2">
        <v>46291.578472222223</v>
      </c>
      <c r="C11" t="s">
        <v>47</v>
      </c>
      <c r="D11" t="s">
        <v>20</v>
      </c>
      <c r="E11" s="6">
        <v>57681.440000000002</v>
      </c>
      <c r="F11" t="s">
        <v>11</v>
      </c>
      <c r="G11" t="s">
        <v>48</v>
      </c>
      <c r="H11" t="s">
        <v>49</v>
      </c>
      <c r="I11" s="116">
        <f>INT(tblTransactions[[#This Row],[TransactionDate]])</f>
        <v>46291</v>
      </c>
      <c r="J11" t="str">
        <f>IF(tblTransactions[[#This Row],[ApprovalID]]="", "R2 - Missing Approval Reference", "")</f>
        <v/>
      </c>
      <c r="K11" t="str">
        <f>IF(AND(tblTransactions[[#This Row],[ApprovalID]]&lt;&gt;"",COUNTIFS(tblApprovals[TransactionID],tblTransactions[[#This Row],[TransactionID]],tblApprovals[ApprovalID],tblTransactions[[#This Row],[ApprovalID]])=0),"R3 - Missing or Mismatched Approval Record", "")</f>
        <v/>
      </c>
      <c r="L1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 t="str">
        <f>IF(AND(tblTransactions[[#This Row],[TransactionStatus]]="Success",COUNTIF(tblSettlement[TransactionID],tblTransactions[[#This Row],[TransactionID]])=0)," R5 - Successful Transaction Not Settled", "")</f>
        <v/>
      </c>
      <c r="N11" t="str">
        <f>IF(AND(COUNTIF(tblSettlement[TransactionID],tblTransactions[[#This Row],[TransactionID]])&gt;0,tblTransactions[[#This Row],[Amount]]&lt;&gt;SUMIF(tblSettlement[TransactionID],tblTransactions[[#This Row],[TransactionID]],tblSettlement[SettledAmount]))," R6 - Settlement Amount Mismatch", "")</f>
        <v/>
      </c>
      <c r="O11" t="str">
        <f>IF(AND(tblTransactions[[#This Row],[CustomerRef]] &lt;&gt;"",COUNTIFS(tblTransactions[CustomerRef],tblTransactions[[#This Row],[CustomerRef]],tblTransactions[Amount],tblTransactions[[#This Row],[Amount]],tblTransactions[Date],tblTransactions[[#This Row],[Date]])&gt;1),"Yes","No")</f>
        <v>No</v>
      </c>
    </row>
    <row r="12" spans="1:15" x14ac:dyDescent="0.3">
      <c r="A12" t="s">
        <v>50</v>
      </c>
      <c r="B12" s="2">
        <v>46231.941666666666</v>
      </c>
      <c r="C12" t="s">
        <v>28</v>
      </c>
      <c r="D12" t="s">
        <v>29</v>
      </c>
      <c r="E12" s="6">
        <v>65758.48</v>
      </c>
      <c r="F12" t="s">
        <v>11</v>
      </c>
      <c r="G12" t="s">
        <v>51</v>
      </c>
      <c r="H12" t="s">
        <v>52</v>
      </c>
      <c r="I12" s="116">
        <f>INT(tblTransactions[[#This Row],[TransactionDate]])</f>
        <v>46231</v>
      </c>
      <c r="J12" t="str">
        <f>IF(tblTransactions[[#This Row],[ApprovalID]]="", "R2 - Missing Approval Reference", "")</f>
        <v/>
      </c>
      <c r="K12" t="str">
        <f>IF(AND(tblTransactions[[#This Row],[ApprovalID]]&lt;&gt;"",COUNTIFS(tblApprovals[TransactionID],tblTransactions[[#This Row],[TransactionID]],tblApprovals[ApprovalID],tblTransactions[[#This Row],[ApprovalID]])=0),"R3 - Missing or Mismatched Approval Record", "")</f>
        <v/>
      </c>
      <c r="L1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 t="str">
        <f>IF(AND(tblTransactions[[#This Row],[TransactionStatus]]="Success",COUNTIF(tblSettlement[TransactionID],tblTransactions[[#This Row],[TransactionID]])=0)," R5 - Successful Transaction Not Settled", "")</f>
        <v/>
      </c>
      <c r="N12" t="str">
        <f>IF(AND(COUNTIF(tblSettlement[TransactionID],tblTransactions[[#This Row],[TransactionID]])&gt;0,tblTransactions[[#This Row],[Amount]]&lt;&gt;SUMIF(tblSettlement[TransactionID],tblTransactions[[#This Row],[TransactionID]],tblSettlement[SettledAmount]))," R6 - Settlement Amount Mismatch", "")</f>
        <v/>
      </c>
      <c r="O12" t="str">
        <f>IF(AND(tblTransactions[[#This Row],[CustomerRef]] &lt;&gt;"",COUNTIFS(tblTransactions[CustomerRef],tblTransactions[[#This Row],[CustomerRef]],tblTransactions[Amount],tblTransactions[[#This Row],[Amount]],tblTransactions[Date],tblTransactions[[#This Row],[Date]])&gt;1),"Yes","No")</f>
        <v>No</v>
      </c>
    </row>
    <row r="13" spans="1:15" x14ac:dyDescent="0.3">
      <c r="A13" t="s">
        <v>53</v>
      </c>
      <c r="B13" s="2">
        <v>46222.505555555559</v>
      </c>
      <c r="C13" t="s">
        <v>24</v>
      </c>
      <c r="D13" t="s">
        <v>15</v>
      </c>
      <c r="E13" s="6">
        <v>18685.41</v>
      </c>
      <c r="F13" t="s">
        <v>11</v>
      </c>
      <c r="G13" t="s">
        <v>54</v>
      </c>
      <c r="H13" t="s">
        <v>55</v>
      </c>
      <c r="I13" s="116">
        <f>INT(tblTransactions[[#This Row],[TransactionDate]])</f>
        <v>46222</v>
      </c>
      <c r="J13" t="str">
        <f>IF(tblTransactions[[#This Row],[ApprovalID]]="", "R2 - Missing Approval Reference", "")</f>
        <v/>
      </c>
      <c r="K13" t="str">
        <f>IF(AND(tblTransactions[[#This Row],[ApprovalID]]&lt;&gt;"",COUNTIFS(tblApprovals[TransactionID],tblTransactions[[#This Row],[TransactionID]],tblApprovals[ApprovalID],tblTransactions[[#This Row],[ApprovalID]])=0),"R3 - Missing or Mismatched Approval Record", "")</f>
        <v/>
      </c>
      <c r="L1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 t="str">
        <f>IF(AND(tblTransactions[[#This Row],[TransactionStatus]]="Success",COUNTIF(tblSettlement[TransactionID],tblTransactions[[#This Row],[TransactionID]])=0)," R5 - Successful Transaction Not Settled", "")</f>
        <v/>
      </c>
      <c r="N13" t="str">
        <f>IF(AND(COUNTIF(tblSettlement[TransactionID],tblTransactions[[#This Row],[TransactionID]])&gt;0,tblTransactions[[#This Row],[Amount]]&lt;&gt;SUMIF(tblSettlement[TransactionID],tblTransactions[[#This Row],[TransactionID]],tblSettlement[SettledAmount]))," R6 - Settlement Amount Mismatch", "")</f>
        <v/>
      </c>
      <c r="O13" t="str">
        <f>IF(AND(tblTransactions[[#This Row],[CustomerRef]] &lt;&gt;"",COUNTIFS(tblTransactions[CustomerRef],tblTransactions[[#This Row],[CustomerRef]],tblTransactions[Amount],tblTransactions[[#This Row],[Amount]],tblTransactions[Date],tblTransactions[[#This Row],[Date]])&gt;1),"Yes","No")</f>
        <v>No</v>
      </c>
    </row>
    <row r="14" spans="1:15" x14ac:dyDescent="0.3">
      <c r="A14" t="s">
        <v>56</v>
      </c>
      <c r="B14" s="2">
        <v>46250.463888888888</v>
      </c>
      <c r="C14" t="s">
        <v>47</v>
      </c>
      <c r="D14" t="s">
        <v>10</v>
      </c>
      <c r="E14" s="6">
        <v>38337.089999999997</v>
      </c>
      <c r="F14" t="s">
        <v>11</v>
      </c>
      <c r="G14" t="s">
        <v>57</v>
      </c>
      <c r="H14" t="s">
        <v>58</v>
      </c>
      <c r="I14" s="116">
        <f>INT(tblTransactions[[#This Row],[TransactionDate]])</f>
        <v>46250</v>
      </c>
      <c r="J14" t="str">
        <f>IF(tblTransactions[[#This Row],[ApprovalID]]="", "R2 - Missing Approval Reference", "")</f>
        <v/>
      </c>
      <c r="K14" t="str">
        <f>IF(AND(tblTransactions[[#This Row],[ApprovalID]]&lt;&gt;"",COUNTIFS(tblApprovals[TransactionID],tblTransactions[[#This Row],[TransactionID]],tblApprovals[ApprovalID],tblTransactions[[#This Row],[ApprovalID]])=0),"R3 - Missing or Mismatched Approval Record", "")</f>
        <v/>
      </c>
      <c r="L1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 t="str">
        <f>IF(AND(tblTransactions[[#This Row],[TransactionStatus]]="Success",COUNTIF(tblSettlement[TransactionID],tblTransactions[[#This Row],[TransactionID]])=0)," R5 - Successful Transaction Not Settled", "")</f>
        <v/>
      </c>
      <c r="N14" t="str">
        <f>IF(AND(COUNTIF(tblSettlement[TransactionID],tblTransactions[[#This Row],[TransactionID]])&gt;0,tblTransactions[[#This Row],[Amount]]&lt;&gt;SUMIF(tblSettlement[TransactionID],tblTransactions[[#This Row],[TransactionID]],tblSettlement[SettledAmount]))," R6 - Settlement Amount Mismatch", "")</f>
        <v/>
      </c>
      <c r="O14" t="str">
        <f>IF(AND(tblTransactions[[#This Row],[CustomerRef]] &lt;&gt;"",COUNTIFS(tblTransactions[CustomerRef],tblTransactions[[#This Row],[CustomerRef]],tblTransactions[Amount],tblTransactions[[#This Row],[Amount]],tblTransactions[Date],tblTransactions[[#This Row],[Date]])&gt;1),"Yes","No")</f>
        <v>No</v>
      </c>
    </row>
    <row r="15" spans="1:15" x14ac:dyDescent="0.3">
      <c r="A15" t="s">
        <v>59</v>
      </c>
      <c r="B15" s="2">
        <v>46291.609722222223</v>
      </c>
      <c r="C15" t="s">
        <v>43</v>
      </c>
      <c r="D15" t="s">
        <v>15</v>
      </c>
      <c r="E15" s="6">
        <v>4998.7</v>
      </c>
      <c r="F15" t="s">
        <v>11</v>
      </c>
      <c r="G15" t="s">
        <v>60</v>
      </c>
      <c r="H15" t="s">
        <v>61</v>
      </c>
      <c r="I15" s="116">
        <f>INT(tblTransactions[[#This Row],[TransactionDate]])</f>
        <v>46291</v>
      </c>
      <c r="J15" t="str">
        <f>IF(tblTransactions[[#This Row],[ApprovalID]]="", "R2 - Missing Approval Reference", "")</f>
        <v/>
      </c>
      <c r="K15" t="str">
        <f>IF(AND(tblTransactions[[#This Row],[ApprovalID]]&lt;&gt;"",COUNTIFS(tblApprovals[TransactionID],tblTransactions[[#This Row],[TransactionID]],tblApprovals[ApprovalID],tblTransactions[[#This Row],[ApprovalID]])=0),"R3 - Missing or Mismatched Approval Record", "")</f>
        <v/>
      </c>
      <c r="L1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 t="str">
        <f>IF(AND(tblTransactions[[#This Row],[TransactionStatus]]="Success",COUNTIF(tblSettlement[TransactionID],tblTransactions[[#This Row],[TransactionID]])=0)," R5 - Successful Transaction Not Settled", "")</f>
        <v/>
      </c>
      <c r="N15" t="str">
        <f>IF(AND(COUNTIF(tblSettlement[TransactionID],tblTransactions[[#This Row],[TransactionID]])&gt;0,tblTransactions[[#This Row],[Amount]]&lt;&gt;SUMIF(tblSettlement[TransactionID],tblTransactions[[#This Row],[TransactionID]],tblSettlement[SettledAmount]))," R6 - Settlement Amount Mismatch", "")</f>
        <v/>
      </c>
      <c r="O15" t="str">
        <f>IF(AND(tblTransactions[[#This Row],[CustomerRef]] &lt;&gt;"",COUNTIFS(tblTransactions[CustomerRef],tblTransactions[[#This Row],[CustomerRef]],tblTransactions[Amount],tblTransactions[[#This Row],[Amount]],tblTransactions[Date],tblTransactions[[#This Row],[Date]])&gt;1),"Yes","No")</f>
        <v>No</v>
      </c>
    </row>
    <row r="16" spans="1:15" x14ac:dyDescent="0.3">
      <c r="A16" t="s">
        <v>62</v>
      </c>
      <c r="B16" s="2">
        <v>46291.796527777777</v>
      </c>
      <c r="C16" t="s">
        <v>24</v>
      </c>
      <c r="D16" t="s">
        <v>20</v>
      </c>
      <c r="E16" s="6">
        <v>51207.85</v>
      </c>
      <c r="F16" t="s">
        <v>11</v>
      </c>
      <c r="G16" t="s">
        <v>63</v>
      </c>
      <c r="H16" t="s">
        <v>64</v>
      </c>
      <c r="I16" s="116">
        <f>INT(tblTransactions[[#This Row],[TransactionDate]])</f>
        <v>46291</v>
      </c>
      <c r="J16" t="str">
        <f>IF(tblTransactions[[#This Row],[ApprovalID]]="", "R2 - Missing Approval Reference", "")</f>
        <v/>
      </c>
      <c r="K16" t="str">
        <f>IF(AND(tblTransactions[[#This Row],[ApprovalID]]&lt;&gt;"",COUNTIFS(tblApprovals[TransactionID],tblTransactions[[#This Row],[TransactionID]],tblApprovals[ApprovalID],tblTransactions[[#This Row],[ApprovalID]])=0),"R3 - Missing or Mismatched Approval Record", "")</f>
        <v/>
      </c>
      <c r="L1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 t="str">
        <f>IF(AND(tblTransactions[[#This Row],[TransactionStatus]]="Success",COUNTIF(tblSettlement[TransactionID],tblTransactions[[#This Row],[TransactionID]])=0)," R5 - Successful Transaction Not Settled", "")</f>
        <v xml:space="preserve"> R5 - Successful Transaction Not Settled</v>
      </c>
      <c r="N16" t="str">
        <f>IF(AND(COUNTIF(tblSettlement[TransactionID],tblTransactions[[#This Row],[TransactionID]])&gt;0,tblTransactions[[#This Row],[Amount]]&lt;&gt;SUMIF(tblSettlement[TransactionID],tblTransactions[[#This Row],[TransactionID]],tblSettlement[SettledAmount]))," R6 - Settlement Amount Mismatch", "")</f>
        <v/>
      </c>
      <c r="O16" t="str">
        <f>IF(AND(tblTransactions[[#This Row],[CustomerRef]] &lt;&gt;"",COUNTIFS(tblTransactions[CustomerRef],tblTransactions[[#This Row],[CustomerRef]],tblTransactions[Amount],tblTransactions[[#This Row],[Amount]],tblTransactions[Date],tblTransactions[[#This Row],[Date]])&gt;1),"Yes","No")</f>
        <v>No</v>
      </c>
    </row>
    <row r="17" spans="1:15" x14ac:dyDescent="0.3">
      <c r="A17" t="s">
        <v>65</v>
      </c>
      <c r="B17" s="2">
        <v>46224.625</v>
      </c>
      <c r="C17" t="s">
        <v>24</v>
      </c>
      <c r="D17" t="s">
        <v>15</v>
      </c>
      <c r="E17" s="6">
        <v>71547.740000000005</v>
      </c>
      <c r="F17" t="s">
        <v>11</v>
      </c>
      <c r="G17" t="s">
        <v>66</v>
      </c>
      <c r="H17" t="s">
        <v>67</v>
      </c>
      <c r="I17" s="116">
        <f>INT(tblTransactions[[#This Row],[TransactionDate]])</f>
        <v>46224</v>
      </c>
      <c r="J17" t="str">
        <f>IF(tblTransactions[[#This Row],[ApprovalID]]="", "R2 - Missing Approval Reference", "")</f>
        <v/>
      </c>
      <c r="K17" t="str">
        <f>IF(AND(tblTransactions[[#This Row],[ApprovalID]]&lt;&gt;"",COUNTIFS(tblApprovals[TransactionID],tblTransactions[[#This Row],[TransactionID]],tblApprovals[ApprovalID],tblTransactions[[#This Row],[ApprovalID]])=0),"R3 - Missing or Mismatched Approval Record", "")</f>
        <v/>
      </c>
      <c r="L1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 t="str">
        <f>IF(AND(tblTransactions[[#This Row],[TransactionStatus]]="Success",COUNTIF(tblSettlement[TransactionID],tblTransactions[[#This Row],[TransactionID]])=0)," R5 - Successful Transaction Not Settled", "")</f>
        <v/>
      </c>
      <c r="N17" t="str">
        <f>IF(AND(COUNTIF(tblSettlement[TransactionID],tblTransactions[[#This Row],[TransactionID]])&gt;0,tblTransactions[[#This Row],[Amount]]&lt;&gt;SUMIF(tblSettlement[TransactionID],tblTransactions[[#This Row],[TransactionID]],tblSettlement[SettledAmount]))," R6 - Settlement Amount Mismatch", "")</f>
        <v/>
      </c>
      <c r="O17" t="str">
        <f>IF(AND(tblTransactions[[#This Row],[CustomerRef]] &lt;&gt;"",COUNTIFS(tblTransactions[CustomerRef],tblTransactions[[#This Row],[CustomerRef]],tblTransactions[Amount],tblTransactions[[#This Row],[Amount]],tblTransactions[Date],tblTransactions[[#This Row],[Date]])&gt;1),"Yes","No")</f>
        <v>No</v>
      </c>
    </row>
    <row r="18" spans="1:15" x14ac:dyDescent="0.3">
      <c r="A18" t="s">
        <v>68</v>
      </c>
      <c r="B18" s="2">
        <v>46217.902777777781</v>
      </c>
      <c r="C18" t="s">
        <v>19</v>
      </c>
      <c r="D18" t="s">
        <v>69</v>
      </c>
      <c r="E18" s="6">
        <v>22558.75</v>
      </c>
      <c r="F18" t="s">
        <v>11</v>
      </c>
      <c r="G18" t="s">
        <v>70</v>
      </c>
      <c r="H18" t="s">
        <v>71</v>
      </c>
      <c r="I18" s="116">
        <f>INT(tblTransactions[[#This Row],[TransactionDate]])</f>
        <v>46217</v>
      </c>
      <c r="J18" t="str">
        <f>IF(tblTransactions[[#This Row],[ApprovalID]]="", "R2 - Missing Approval Reference", "")</f>
        <v/>
      </c>
      <c r="K18" t="str">
        <f>IF(AND(tblTransactions[[#This Row],[ApprovalID]]&lt;&gt;"",COUNTIFS(tblApprovals[TransactionID],tblTransactions[[#This Row],[TransactionID]],tblApprovals[ApprovalID],tblTransactions[[#This Row],[ApprovalID]])=0),"R3 - Missing or Mismatched Approval Record", "")</f>
        <v/>
      </c>
      <c r="L1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 t="str">
        <f>IF(AND(tblTransactions[[#This Row],[TransactionStatus]]="Success",COUNTIF(tblSettlement[TransactionID],tblTransactions[[#This Row],[TransactionID]])=0)," R5 - Successful Transaction Not Settled", "")</f>
        <v/>
      </c>
      <c r="N18" t="str">
        <f>IF(AND(COUNTIF(tblSettlement[TransactionID],tblTransactions[[#This Row],[TransactionID]])&gt;0,tblTransactions[[#This Row],[Amount]]&lt;&gt;SUMIF(tblSettlement[TransactionID],tblTransactions[[#This Row],[TransactionID]],tblSettlement[SettledAmount]))," R6 - Settlement Amount Mismatch", "")</f>
        <v/>
      </c>
      <c r="O18" t="str">
        <f>IF(AND(tblTransactions[[#This Row],[CustomerRef]] &lt;&gt;"",COUNTIFS(tblTransactions[CustomerRef],tblTransactions[[#This Row],[CustomerRef]],tblTransactions[Amount],tblTransactions[[#This Row],[Amount]],tblTransactions[Date],tblTransactions[[#This Row],[Date]])&gt;1),"Yes","No")</f>
        <v>No</v>
      </c>
    </row>
    <row r="19" spans="1:15" x14ac:dyDescent="0.3">
      <c r="A19" t="s">
        <v>72</v>
      </c>
      <c r="B19" s="2">
        <v>46273.874305555553</v>
      </c>
      <c r="C19" t="s">
        <v>24</v>
      </c>
      <c r="D19" t="s">
        <v>29</v>
      </c>
      <c r="E19" s="6">
        <v>39893.94</v>
      </c>
      <c r="F19" t="s">
        <v>11</v>
      </c>
      <c r="H19" t="s">
        <v>73</v>
      </c>
      <c r="I19" s="116">
        <f>INT(tblTransactions[[#This Row],[TransactionDate]])</f>
        <v>46273</v>
      </c>
      <c r="J19" t="str">
        <f>IF(tblTransactions[[#This Row],[ApprovalID]]="", "R2 - Missing Approval Reference", "")</f>
        <v>R2 - Missing Approval Reference</v>
      </c>
      <c r="K19" t="str">
        <f>IF(AND(tblTransactions[[#This Row],[ApprovalID]]&lt;&gt;"",COUNTIFS(tblApprovals[TransactionID],tblTransactions[[#This Row],[TransactionID]],tblApprovals[ApprovalID],tblTransactions[[#This Row],[ApprovalID]])=0),"R3 - Missing or Mismatched Approval Record", "")</f>
        <v/>
      </c>
      <c r="L1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 t="str">
        <f>IF(AND(tblTransactions[[#This Row],[TransactionStatus]]="Success",COUNTIF(tblSettlement[TransactionID],tblTransactions[[#This Row],[TransactionID]])=0)," R5 - Successful Transaction Not Settled", "")</f>
        <v/>
      </c>
      <c r="N19" t="str">
        <f>IF(AND(COUNTIF(tblSettlement[TransactionID],tblTransactions[[#This Row],[TransactionID]])&gt;0,tblTransactions[[#This Row],[Amount]]&lt;&gt;SUMIF(tblSettlement[TransactionID],tblTransactions[[#This Row],[TransactionID]],tblSettlement[SettledAmount]))," R6 - Settlement Amount Mismatch", "")</f>
        <v/>
      </c>
      <c r="O19" t="str">
        <f>IF(AND(tblTransactions[[#This Row],[CustomerRef]] &lt;&gt;"",COUNTIFS(tblTransactions[CustomerRef],tblTransactions[[#This Row],[CustomerRef]],tblTransactions[Amount],tblTransactions[[#This Row],[Amount]],tblTransactions[Date],tblTransactions[[#This Row],[Date]])&gt;1),"Yes","No")</f>
        <v>No</v>
      </c>
    </row>
    <row r="20" spans="1:15" x14ac:dyDescent="0.3">
      <c r="A20" t="s">
        <v>74</v>
      </c>
      <c r="B20" s="2">
        <v>46243.460416666669</v>
      </c>
      <c r="C20" t="s">
        <v>47</v>
      </c>
      <c r="D20" t="s">
        <v>10</v>
      </c>
      <c r="E20" s="6">
        <v>18255.150000000001</v>
      </c>
      <c r="F20" t="s">
        <v>11</v>
      </c>
      <c r="G20" t="s">
        <v>75</v>
      </c>
      <c r="H20" t="s">
        <v>76</v>
      </c>
      <c r="I20" s="116">
        <f>INT(tblTransactions[[#This Row],[TransactionDate]])</f>
        <v>46243</v>
      </c>
      <c r="J20" t="str">
        <f>IF(tblTransactions[[#This Row],[ApprovalID]]="", "R2 - Missing Approval Reference", "")</f>
        <v/>
      </c>
      <c r="K20" t="str">
        <f>IF(AND(tblTransactions[[#This Row],[ApprovalID]]&lt;&gt;"",COUNTIFS(tblApprovals[TransactionID],tblTransactions[[#This Row],[TransactionID]],tblApprovals[ApprovalID],tblTransactions[[#This Row],[ApprovalID]])=0),"R3 - Missing or Mismatched Approval Record", "")</f>
        <v/>
      </c>
      <c r="L2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 t="str">
        <f>IF(AND(tblTransactions[[#This Row],[TransactionStatus]]="Success",COUNTIF(tblSettlement[TransactionID],tblTransactions[[#This Row],[TransactionID]])=0)," R5 - Successful Transaction Not Settled", "")</f>
        <v/>
      </c>
      <c r="N20" t="str">
        <f>IF(AND(COUNTIF(tblSettlement[TransactionID],tblTransactions[[#This Row],[TransactionID]])&gt;0,tblTransactions[[#This Row],[Amount]]&lt;&gt;SUMIF(tblSettlement[TransactionID],tblTransactions[[#This Row],[TransactionID]],tblSettlement[SettledAmount]))," R6 - Settlement Amount Mismatch", "")</f>
        <v/>
      </c>
      <c r="O20" t="str">
        <f>IF(AND(tblTransactions[[#This Row],[CustomerRef]] &lt;&gt;"",COUNTIFS(tblTransactions[CustomerRef],tblTransactions[[#This Row],[CustomerRef]],tblTransactions[Amount],tblTransactions[[#This Row],[Amount]],tblTransactions[Date],tblTransactions[[#This Row],[Date]])&gt;1),"Yes","No")</f>
        <v>No</v>
      </c>
    </row>
    <row r="21" spans="1:15" x14ac:dyDescent="0.3">
      <c r="A21" t="s">
        <v>77</v>
      </c>
      <c r="B21" s="2">
        <v>46272.838888888888</v>
      </c>
      <c r="C21" t="s">
        <v>19</v>
      </c>
      <c r="D21" t="s">
        <v>69</v>
      </c>
      <c r="E21" s="6">
        <v>9847.26</v>
      </c>
      <c r="F21" t="s">
        <v>11</v>
      </c>
      <c r="G21" t="s">
        <v>78</v>
      </c>
      <c r="H21" t="s">
        <v>79</v>
      </c>
      <c r="I21" s="116">
        <f>INT(tblTransactions[[#This Row],[TransactionDate]])</f>
        <v>46272</v>
      </c>
      <c r="J21" t="str">
        <f>IF(tblTransactions[[#This Row],[ApprovalID]]="", "R2 - Missing Approval Reference", "")</f>
        <v/>
      </c>
      <c r="K21" t="str">
        <f>IF(AND(tblTransactions[[#This Row],[ApprovalID]]&lt;&gt;"",COUNTIFS(tblApprovals[TransactionID],tblTransactions[[#This Row],[TransactionID]],tblApprovals[ApprovalID],tblTransactions[[#This Row],[ApprovalID]])=0),"R3 - Missing or Mismatched Approval Record", "")</f>
        <v/>
      </c>
      <c r="L2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 t="str">
        <f>IF(AND(tblTransactions[[#This Row],[TransactionStatus]]="Success",COUNTIF(tblSettlement[TransactionID],tblTransactions[[#This Row],[TransactionID]])=0)," R5 - Successful Transaction Not Settled", "")</f>
        <v/>
      </c>
      <c r="N21" t="str">
        <f>IF(AND(COUNTIF(tblSettlement[TransactionID],tblTransactions[[#This Row],[TransactionID]])&gt;0,tblTransactions[[#This Row],[Amount]]&lt;&gt;SUMIF(tblSettlement[TransactionID],tblTransactions[[#This Row],[TransactionID]],tblSettlement[SettledAmount]))," R6 - Settlement Amount Mismatch", "")</f>
        <v/>
      </c>
      <c r="O21" t="str">
        <f>IF(AND(tblTransactions[[#This Row],[CustomerRef]] &lt;&gt;"",COUNTIFS(tblTransactions[CustomerRef],tblTransactions[[#This Row],[CustomerRef]],tblTransactions[Amount],tblTransactions[[#This Row],[Amount]],tblTransactions[Date],tblTransactions[[#This Row],[Date]])&gt;1),"Yes","No")</f>
        <v>No</v>
      </c>
    </row>
    <row r="22" spans="1:15" x14ac:dyDescent="0.3">
      <c r="A22" t="s">
        <v>80</v>
      </c>
      <c r="B22" s="2">
        <v>46231.94027777778</v>
      </c>
      <c r="C22" t="s">
        <v>28</v>
      </c>
      <c r="D22" t="s">
        <v>20</v>
      </c>
      <c r="E22" s="6">
        <v>56706.07</v>
      </c>
      <c r="F22" t="s">
        <v>11</v>
      </c>
      <c r="G22" t="s">
        <v>81</v>
      </c>
      <c r="H22" t="s">
        <v>82</v>
      </c>
      <c r="I22" s="116">
        <f>INT(tblTransactions[[#This Row],[TransactionDate]])</f>
        <v>46231</v>
      </c>
      <c r="J22" t="str">
        <f>IF(tblTransactions[[#This Row],[ApprovalID]]="", "R2 - Missing Approval Reference", "")</f>
        <v/>
      </c>
      <c r="K22" t="str">
        <f>IF(AND(tblTransactions[[#This Row],[ApprovalID]]&lt;&gt;"",COUNTIFS(tblApprovals[TransactionID],tblTransactions[[#This Row],[TransactionID]],tblApprovals[ApprovalID],tblTransactions[[#This Row],[ApprovalID]])=0),"R3 - Missing or Mismatched Approval Record", "")</f>
        <v/>
      </c>
      <c r="L2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 t="str">
        <f>IF(AND(tblTransactions[[#This Row],[TransactionStatus]]="Success",COUNTIF(tblSettlement[TransactionID],tblTransactions[[#This Row],[TransactionID]])=0)," R5 - Successful Transaction Not Settled", "")</f>
        <v/>
      </c>
      <c r="N22" t="str">
        <f>IF(AND(COUNTIF(tblSettlement[TransactionID],tblTransactions[[#This Row],[TransactionID]])&gt;0,tblTransactions[[#This Row],[Amount]]&lt;&gt;SUMIF(tblSettlement[TransactionID],tblTransactions[[#This Row],[TransactionID]],tblSettlement[SettledAmount]))," R6 - Settlement Amount Mismatch", "")</f>
        <v/>
      </c>
      <c r="O22" t="str">
        <f>IF(AND(tblTransactions[[#This Row],[CustomerRef]] &lt;&gt;"",COUNTIFS(tblTransactions[CustomerRef],tblTransactions[[#This Row],[CustomerRef]],tblTransactions[Amount],tblTransactions[[#This Row],[Amount]],tblTransactions[Date],tblTransactions[[#This Row],[Date]])&gt;1),"Yes","No")</f>
        <v>No</v>
      </c>
    </row>
    <row r="23" spans="1:15" x14ac:dyDescent="0.3">
      <c r="A23" t="s">
        <v>83</v>
      </c>
      <c r="B23" s="2">
        <v>46260.939583333333</v>
      </c>
      <c r="C23" t="s">
        <v>47</v>
      </c>
      <c r="D23" t="s">
        <v>20</v>
      </c>
      <c r="E23" s="6">
        <v>33998.589999999997</v>
      </c>
      <c r="F23" t="s">
        <v>11</v>
      </c>
      <c r="H23" t="s">
        <v>84</v>
      </c>
      <c r="I23" s="116">
        <f>INT(tblTransactions[[#This Row],[TransactionDate]])</f>
        <v>46260</v>
      </c>
      <c r="J23" t="str">
        <f>IF(tblTransactions[[#This Row],[ApprovalID]]="", "R2 - Missing Approval Reference", "")</f>
        <v>R2 - Missing Approval Reference</v>
      </c>
      <c r="K23" t="str">
        <f>IF(AND(tblTransactions[[#This Row],[ApprovalID]]&lt;&gt;"",COUNTIFS(tblApprovals[TransactionID],tblTransactions[[#This Row],[TransactionID]],tblApprovals[ApprovalID],tblTransactions[[#This Row],[ApprovalID]])=0),"R3 - Missing or Mismatched Approval Record", "")</f>
        <v/>
      </c>
      <c r="L2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 t="str">
        <f>IF(AND(tblTransactions[[#This Row],[TransactionStatus]]="Success",COUNTIF(tblSettlement[TransactionID],tblTransactions[[#This Row],[TransactionID]])=0)," R5 - Successful Transaction Not Settled", "")</f>
        <v/>
      </c>
      <c r="N23" t="str">
        <f>IF(AND(COUNTIF(tblSettlement[TransactionID],tblTransactions[[#This Row],[TransactionID]])&gt;0,tblTransactions[[#This Row],[Amount]]&lt;&gt;SUMIF(tblSettlement[TransactionID],tblTransactions[[#This Row],[TransactionID]],tblSettlement[SettledAmount]))," R6 - Settlement Amount Mismatch", "")</f>
        <v/>
      </c>
      <c r="O23" t="str">
        <f>IF(AND(tblTransactions[[#This Row],[CustomerRef]] &lt;&gt;"",COUNTIFS(tblTransactions[CustomerRef],tblTransactions[[#This Row],[CustomerRef]],tblTransactions[Amount],tblTransactions[[#This Row],[Amount]],tblTransactions[Date],tblTransactions[[#This Row],[Date]])&gt;1),"Yes","No")</f>
        <v>No</v>
      </c>
    </row>
    <row r="24" spans="1:15" x14ac:dyDescent="0.3">
      <c r="A24" t="s">
        <v>85</v>
      </c>
      <c r="B24" s="2">
        <v>46279.458333333336</v>
      </c>
      <c r="C24" t="s">
        <v>9</v>
      </c>
      <c r="D24" t="s">
        <v>10</v>
      </c>
      <c r="E24" s="6">
        <v>5556.73</v>
      </c>
      <c r="F24" t="s">
        <v>11</v>
      </c>
      <c r="G24" t="s">
        <v>86</v>
      </c>
      <c r="H24" t="s">
        <v>87</v>
      </c>
      <c r="I24" s="116">
        <f>INT(tblTransactions[[#This Row],[TransactionDate]])</f>
        <v>46279</v>
      </c>
      <c r="J24" t="str">
        <f>IF(tblTransactions[[#This Row],[ApprovalID]]="", "R2 - Missing Approval Reference", "")</f>
        <v/>
      </c>
      <c r="K24" t="str">
        <f>IF(AND(tblTransactions[[#This Row],[ApprovalID]]&lt;&gt;"",COUNTIFS(tblApprovals[TransactionID],tblTransactions[[#This Row],[TransactionID]],tblApprovals[ApprovalID],tblTransactions[[#This Row],[ApprovalID]])=0),"R3 - Missing or Mismatched Approval Record", "")</f>
        <v/>
      </c>
      <c r="L2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 t="str">
        <f>IF(AND(tblTransactions[[#This Row],[TransactionStatus]]="Success",COUNTIF(tblSettlement[TransactionID],tblTransactions[[#This Row],[TransactionID]])=0)," R5 - Successful Transaction Not Settled", "")</f>
        <v/>
      </c>
      <c r="N24" t="str">
        <f>IF(AND(COUNTIF(tblSettlement[TransactionID],tblTransactions[[#This Row],[TransactionID]])&gt;0,tblTransactions[[#This Row],[Amount]]&lt;&gt;SUMIF(tblSettlement[TransactionID],tblTransactions[[#This Row],[TransactionID]],tblSettlement[SettledAmount]))," R6 - Settlement Amount Mismatch", "")</f>
        <v/>
      </c>
      <c r="O24" t="str">
        <f>IF(AND(tblTransactions[[#This Row],[CustomerRef]] &lt;&gt;"",COUNTIFS(tblTransactions[CustomerRef],tblTransactions[[#This Row],[CustomerRef]],tblTransactions[Amount],tblTransactions[[#This Row],[Amount]],tblTransactions[Date],tblTransactions[[#This Row],[Date]])&gt;1),"Yes","No")</f>
        <v>No</v>
      </c>
    </row>
    <row r="25" spans="1:15" x14ac:dyDescent="0.3">
      <c r="A25" t="s">
        <v>88</v>
      </c>
      <c r="B25" s="2">
        <v>46213.677083333336</v>
      </c>
      <c r="C25" t="s">
        <v>19</v>
      </c>
      <c r="D25" t="s">
        <v>69</v>
      </c>
      <c r="E25" s="6">
        <v>21066.18</v>
      </c>
      <c r="F25" t="s">
        <v>11</v>
      </c>
      <c r="G25" t="s">
        <v>89</v>
      </c>
      <c r="H25" t="s">
        <v>90</v>
      </c>
      <c r="I25" s="116">
        <f>INT(tblTransactions[[#This Row],[TransactionDate]])</f>
        <v>46213</v>
      </c>
      <c r="J25" t="str">
        <f>IF(tblTransactions[[#This Row],[ApprovalID]]="", "R2 - Missing Approval Reference", "")</f>
        <v/>
      </c>
      <c r="K25" t="str">
        <f>IF(AND(tblTransactions[[#This Row],[ApprovalID]]&lt;&gt;"",COUNTIFS(tblApprovals[TransactionID],tblTransactions[[#This Row],[TransactionID]],tblApprovals[ApprovalID],tblTransactions[[#This Row],[ApprovalID]])=0),"R3 - Missing or Mismatched Approval Record", "")</f>
        <v/>
      </c>
      <c r="L2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 t="str">
        <f>IF(AND(tblTransactions[[#This Row],[TransactionStatus]]="Success",COUNTIF(tblSettlement[TransactionID],tblTransactions[[#This Row],[TransactionID]])=0)," R5 - Successful Transaction Not Settled", "")</f>
        <v/>
      </c>
      <c r="N25" t="str">
        <f>IF(AND(COUNTIF(tblSettlement[TransactionID],tblTransactions[[#This Row],[TransactionID]])&gt;0,tblTransactions[[#This Row],[Amount]]&lt;&gt;SUMIF(tblSettlement[TransactionID],tblTransactions[[#This Row],[TransactionID]],tblSettlement[SettledAmount]))," R6 - Settlement Amount Mismatch", "")</f>
        <v/>
      </c>
      <c r="O25" t="str">
        <f>IF(AND(tblTransactions[[#This Row],[CustomerRef]] &lt;&gt;"",COUNTIFS(tblTransactions[CustomerRef],tblTransactions[[#This Row],[CustomerRef]],tblTransactions[Amount],tblTransactions[[#This Row],[Amount]],tblTransactions[Date],tblTransactions[[#This Row],[Date]])&gt;1),"Yes","No")</f>
        <v>No</v>
      </c>
    </row>
    <row r="26" spans="1:15" x14ac:dyDescent="0.3">
      <c r="A26" t="s">
        <v>91</v>
      </c>
      <c r="B26" s="2">
        <v>46235.854166666664</v>
      </c>
      <c r="C26" t="s">
        <v>47</v>
      </c>
      <c r="D26" t="s">
        <v>29</v>
      </c>
      <c r="E26" s="6">
        <v>60610.400000000001</v>
      </c>
      <c r="F26" t="s">
        <v>11</v>
      </c>
      <c r="G26" t="s">
        <v>92</v>
      </c>
      <c r="H26" t="s">
        <v>93</v>
      </c>
      <c r="I26" s="116">
        <f>INT(tblTransactions[[#This Row],[TransactionDate]])</f>
        <v>46235</v>
      </c>
      <c r="J26" t="str">
        <f>IF(tblTransactions[[#This Row],[ApprovalID]]="", "R2 - Missing Approval Reference", "")</f>
        <v/>
      </c>
      <c r="K26" t="str">
        <f>IF(AND(tblTransactions[[#This Row],[ApprovalID]]&lt;&gt;"",COUNTIFS(tblApprovals[TransactionID],tblTransactions[[#This Row],[TransactionID]],tblApprovals[ApprovalID],tblTransactions[[#This Row],[ApprovalID]])=0),"R3 - Missing or Mismatched Approval Record", "")</f>
        <v/>
      </c>
      <c r="L2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 t="str">
        <f>IF(AND(tblTransactions[[#This Row],[TransactionStatus]]="Success",COUNTIF(tblSettlement[TransactionID],tblTransactions[[#This Row],[TransactionID]])=0)," R5 - Successful Transaction Not Settled", "")</f>
        <v/>
      </c>
      <c r="N26" t="str">
        <f>IF(AND(COUNTIF(tblSettlement[TransactionID],tblTransactions[[#This Row],[TransactionID]])&gt;0,tblTransactions[[#This Row],[Amount]]&lt;&gt;SUMIF(tblSettlement[TransactionID],tblTransactions[[#This Row],[TransactionID]],tblSettlement[SettledAmount]))," R6 - Settlement Amount Mismatch", "")</f>
        <v/>
      </c>
      <c r="O26" t="str">
        <f>IF(AND(tblTransactions[[#This Row],[CustomerRef]] &lt;&gt;"",COUNTIFS(tblTransactions[CustomerRef],tblTransactions[[#This Row],[CustomerRef]],tblTransactions[Amount],tblTransactions[[#This Row],[Amount]],tblTransactions[Date],tblTransactions[[#This Row],[Date]])&gt;1),"Yes","No")</f>
        <v>No</v>
      </c>
    </row>
    <row r="27" spans="1:15" x14ac:dyDescent="0.3">
      <c r="A27" t="s">
        <v>94</v>
      </c>
      <c r="B27" s="2">
        <v>46263.906944444447</v>
      </c>
      <c r="C27" t="s">
        <v>28</v>
      </c>
      <c r="D27" t="s">
        <v>10</v>
      </c>
      <c r="E27" s="6">
        <v>4299.3</v>
      </c>
      <c r="F27" t="s">
        <v>11</v>
      </c>
      <c r="H27" t="s">
        <v>95</v>
      </c>
      <c r="I27" s="116">
        <f>INT(tblTransactions[[#This Row],[TransactionDate]])</f>
        <v>46263</v>
      </c>
      <c r="J27" t="str">
        <f>IF(tblTransactions[[#This Row],[ApprovalID]]="", "R2 - Missing Approval Reference", "")</f>
        <v>R2 - Missing Approval Reference</v>
      </c>
      <c r="K27" t="str">
        <f>IF(AND(tblTransactions[[#This Row],[ApprovalID]]&lt;&gt;"",COUNTIFS(tblApprovals[TransactionID],tblTransactions[[#This Row],[TransactionID]],tblApprovals[ApprovalID],tblTransactions[[#This Row],[ApprovalID]])=0),"R3 - Missing or Mismatched Approval Record", "")</f>
        <v/>
      </c>
      <c r="L2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 t="str">
        <f>IF(AND(tblTransactions[[#This Row],[TransactionStatus]]="Success",COUNTIF(tblSettlement[TransactionID],tblTransactions[[#This Row],[TransactionID]])=0)," R5 - Successful Transaction Not Settled", "")</f>
        <v/>
      </c>
      <c r="N27" t="str">
        <f>IF(AND(COUNTIF(tblSettlement[TransactionID],tblTransactions[[#This Row],[TransactionID]])&gt;0,tblTransactions[[#This Row],[Amount]]&lt;&gt;SUMIF(tblSettlement[TransactionID],tblTransactions[[#This Row],[TransactionID]],tblSettlement[SettledAmount]))," R6 - Settlement Amount Mismatch", "")</f>
        <v/>
      </c>
      <c r="O27" t="str">
        <f>IF(AND(tblTransactions[[#This Row],[CustomerRef]] &lt;&gt;"",COUNTIFS(tblTransactions[CustomerRef],tblTransactions[[#This Row],[CustomerRef]],tblTransactions[Amount],tblTransactions[[#This Row],[Amount]],tblTransactions[Date],tblTransactions[[#This Row],[Date]])&gt;1),"Yes","No")</f>
        <v>No</v>
      </c>
    </row>
    <row r="28" spans="1:15" x14ac:dyDescent="0.3">
      <c r="A28" t="s">
        <v>96</v>
      </c>
      <c r="B28" s="2">
        <v>46217.466666666667</v>
      </c>
      <c r="C28" t="s">
        <v>43</v>
      </c>
      <c r="D28" t="s">
        <v>69</v>
      </c>
      <c r="E28" s="6">
        <v>14468.12</v>
      </c>
      <c r="F28" t="s">
        <v>11</v>
      </c>
      <c r="G28" t="s">
        <v>97</v>
      </c>
      <c r="H28" t="s">
        <v>98</v>
      </c>
      <c r="I28" s="116">
        <f>INT(tblTransactions[[#This Row],[TransactionDate]])</f>
        <v>46217</v>
      </c>
      <c r="J28" t="str">
        <f>IF(tblTransactions[[#This Row],[ApprovalID]]="", "R2 - Missing Approval Reference", "")</f>
        <v/>
      </c>
      <c r="K28" t="str">
        <f>IF(AND(tblTransactions[[#This Row],[ApprovalID]]&lt;&gt;"",COUNTIFS(tblApprovals[TransactionID],tblTransactions[[#This Row],[TransactionID]],tblApprovals[ApprovalID],tblTransactions[[#This Row],[ApprovalID]])=0),"R3 - Missing or Mismatched Approval Record", "")</f>
        <v/>
      </c>
      <c r="L2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 t="str">
        <f>IF(AND(tblTransactions[[#This Row],[TransactionStatus]]="Success",COUNTIF(tblSettlement[TransactionID],tblTransactions[[#This Row],[TransactionID]])=0)," R5 - Successful Transaction Not Settled", "")</f>
        <v/>
      </c>
      <c r="N28" t="str">
        <f>IF(AND(COUNTIF(tblSettlement[TransactionID],tblTransactions[[#This Row],[TransactionID]])&gt;0,tblTransactions[[#This Row],[Amount]]&lt;&gt;SUMIF(tblSettlement[TransactionID],tblTransactions[[#This Row],[TransactionID]],tblSettlement[SettledAmount]))," R6 - Settlement Amount Mismatch", "")</f>
        <v/>
      </c>
      <c r="O28" t="str">
        <f>IF(AND(tblTransactions[[#This Row],[CustomerRef]] &lt;&gt;"",COUNTIFS(tblTransactions[CustomerRef],tblTransactions[[#This Row],[CustomerRef]],tblTransactions[Amount],tblTransactions[[#This Row],[Amount]],tblTransactions[Date],tblTransactions[[#This Row],[Date]])&gt;1),"Yes","No")</f>
        <v>No</v>
      </c>
    </row>
    <row r="29" spans="1:15" x14ac:dyDescent="0.3">
      <c r="A29" t="s">
        <v>99</v>
      </c>
      <c r="B29" s="2">
        <v>46213.660416666666</v>
      </c>
      <c r="C29" t="s">
        <v>47</v>
      </c>
      <c r="D29" t="s">
        <v>15</v>
      </c>
      <c r="E29" s="6">
        <v>64635.85</v>
      </c>
      <c r="F29" t="s">
        <v>11</v>
      </c>
      <c r="G29" t="s">
        <v>100</v>
      </c>
      <c r="H29" t="s">
        <v>101</v>
      </c>
      <c r="I29" s="116">
        <f>INT(tblTransactions[[#This Row],[TransactionDate]])</f>
        <v>46213</v>
      </c>
      <c r="J29" t="str">
        <f>IF(tblTransactions[[#This Row],[ApprovalID]]="", "R2 - Missing Approval Reference", "")</f>
        <v/>
      </c>
      <c r="K29" t="str">
        <f>IF(AND(tblTransactions[[#This Row],[ApprovalID]]&lt;&gt;"",COUNTIFS(tblApprovals[TransactionID],tblTransactions[[#This Row],[TransactionID]],tblApprovals[ApprovalID],tblTransactions[[#This Row],[ApprovalID]])=0),"R3 - Missing or Mismatched Approval Record", "")</f>
        <v/>
      </c>
      <c r="L2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29" t="str">
        <f>IF(AND(tblTransactions[[#This Row],[TransactionStatus]]="Success",COUNTIF(tblSettlement[TransactionID],tblTransactions[[#This Row],[TransactionID]])=0)," R5 - Successful Transaction Not Settled", "")</f>
        <v/>
      </c>
      <c r="N29" t="str">
        <f>IF(AND(COUNTIF(tblSettlement[TransactionID],tblTransactions[[#This Row],[TransactionID]])&gt;0,tblTransactions[[#This Row],[Amount]]&lt;&gt;SUMIF(tblSettlement[TransactionID],tblTransactions[[#This Row],[TransactionID]],tblSettlement[SettledAmount]))," R6 - Settlement Amount Mismatch", "")</f>
        <v/>
      </c>
      <c r="O29" t="str">
        <f>IF(AND(tblTransactions[[#This Row],[CustomerRef]] &lt;&gt;"",COUNTIFS(tblTransactions[CustomerRef],tblTransactions[[#This Row],[CustomerRef]],tblTransactions[Amount],tblTransactions[[#This Row],[Amount]],tblTransactions[Date],tblTransactions[[#This Row],[Date]])&gt;1),"Yes","No")</f>
        <v>No</v>
      </c>
    </row>
    <row r="30" spans="1:15" x14ac:dyDescent="0.3">
      <c r="A30" t="s">
        <v>102</v>
      </c>
      <c r="B30" s="2">
        <v>46234.43472222222</v>
      </c>
      <c r="C30" t="s">
        <v>43</v>
      </c>
      <c r="D30" t="s">
        <v>10</v>
      </c>
      <c r="E30" s="6">
        <v>36551.67</v>
      </c>
      <c r="F30" t="s">
        <v>11</v>
      </c>
      <c r="G30" t="s">
        <v>103</v>
      </c>
      <c r="H30" t="s">
        <v>104</v>
      </c>
      <c r="I30" s="116">
        <f>INT(tblTransactions[[#This Row],[TransactionDate]])</f>
        <v>46234</v>
      </c>
      <c r="J30" t="str">
        <f>IF(tblTransactions[[#This Row],[ApprovalID]]="", "R2 - Missing Approval Reference", "")</f>
        <v/>
      </c>
      <c r="K30" t="str">
        <f>IF(AND(tblTransactions[[#This Row],[ApprovalID]]&lt;&gt;"",COUNTIFS(tblApprovals[TransactionID],tblTransactions[[#This Row],[TransactionID]],tblApprovals[ApprovalID],tblTransactions[[#This Row],[ApprovalID]])=0),"R3 - Missing or Mismatched Approval Record", "")</f>
        <v/>
      </c>
      <c r="L3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 t="str">
        <f>IF(AND(tblTransactions[[#This Row],[TransactionStatus]]="Success",COUNTIF(tblSettlement[TransactionID],tblTransactions[[#This Row],[TransactionID]])=0)," R5 - Successful Transaction Not Settled", "")</f>
        <v/>
      </c>
      <c r="N30" t="str">
        <f>IF(AND(COUNTIF(tblSettlement[TransactionID],tblTransactions[[#This Row],[TransactionID]])&gt;0,tblTransactions[[#This Row],[Amount]]&lt;&gt;SUMIF(tblSettlement[TransactionID],tblTransactions[[#This Row],[TransactionID]],tblSettlement[SettledAmount]))," R6 - Settlement Amount Mismatch", "")</f>
        <v/>
      </c>
      <c r="O30" t="str">
        <f>IF(AND(tblTransactions[[#This Row],[CustomerRef]] &lt;&gt;"",COUNTIFS(tblTransactions[CustomerRef],tblTransactions[[#This Row],[CustomerRef]],tblTransactions[Amount],tblTransactions[[#This Row],[Amount]],tblTransactions[Date],tblTransactions[[#This Row],[Date]])&gt;1),"Yes","No")</f>
        <v>No</v>
      </c>
    </row>
    <row r="31" spans="1:15" x14ac:dyDescent="0.3">
      <c r="A31" t="s">
        <v>105</v>
      </c>
      <c r="B31" s="2">
        <v>46253.540972222225</v>
      </c>
      <c r="C31" t="s">
        <v>43</v>
      </c>
      <c r="D31" t="s">
        <v>15</v>
      </c>
      <c r="E31" s="6">
        <v>58859.28</v>
      </c>
      <c r="F31" t="s">
        <v>11</v>
      </c>
      <c r="G31" t="s">
        <v>106</v>
      </c>
      <c r="H31" t="s">
        <v>107</v>
      </c>
      <c r="I31" s="116">
        <f>INT(tblTransactions[[#This Row],[TransactionDate]])</f>
        <v>46253</v>
      </c>
      <c r="J31" t="str">
        <f>IF(tblTransactions[[#This Row],[ApprovalID]]="", "R2 - Missing Approval Reference", "")</f>
        <v/>
      </c>
      <c r="K31" t="str">
        <f>IF(AND(tblTransactions[[#This Row],[ApprovalID]]&lt;&gt;"",COUNTIFS(tblApprovals[TransactionID],tblTransactions[[#This Row],[TransactionID]],tblApprovals[ApprovalID],tblTransactions[[#This Row],[ApprovalID]])=0),"R3 - Missing or Mismatched Approval Record", "")</f>
        <v/>
      </c>
      <c r="L3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 t="str">
        <f>IF(AND(tblTransactions[[#This Row],[TransactionStatus]]="Success",COUNTIF(tblSettlement[TransactionID],tblTransactions[[#This Row],[TransactionID]])=0)," R5 - Successful Transaction Not Settled", "")</f>
        <v/>
      </c>
      <c r="N31" t="str">
        <f>IF(AND(COUNTIF(tblSettlement[TransactionID],tblTransactions[[#This Row],[TransactionID]])&gt;0,tblTransactions[[#This Row],[Amount]]&lt;&gt;SUMIF(tblSettlement[TransactionID],tblTransactions[[#This Row],[TransactionID]],tblSettlement[SettledAmount]))," R6 - Settlement Amount Mismatch", "")</f>
        <v/>
      </c>
      <c r="O31" t="str">
        <f>IF(AND(tblTransactions[[#This Row],[CustomerRef]] &lt;&gt;"",COUNTIFS(tblTransactions[CustomerRef],tblTransactions[[#This Row],[CustomerRef]],tblTransactions[Amount],tblTransactions[[#This Row],[Amount]],tblTransactions[Date],tblTransactions[[#This Row],[Date]])&gt;1),"Yes","No")</f>
        <v>No</v>
      </c>
    </row>
    <row r="32" spans="1:15" x14ac:dyDescent="0.3">
      <c r="A32" t="s">
        <v>108</v>
      </c>
      <c r="B32" s="2">
        <v>46223.470833333333</v>
      </c>
      <c r="C32" t="s">
        <v>28</v>
      </c>
      <c r="D32" t="s">
        <v>15</v>
      </c>
      <c r="E32" s="6">
        <v>16523.14</v>
      </c>
      <c r="F32" t="s">
        <v>11</v>
      </c>
      <c r="H32" t="s">
        <v>109</v>
      </c>
      <c r="I32" s="116">
        <f>INT(tblTransactions[[#This Row],[TransactionDate]])</f>
        <v>46223</v>
      </c>
      <c r="J32" t="str">
        <f>IF(tblTransactions[[#This Row],[ApprovalID]]="", "R2 - Missing Approval Reference", "")</f>
        <v>R2 - Missing Approval Reference</v>
      </c>
      <c r="K32" t="str">
        <f>IF(AND(tblTransactions[[#This Row],[ApprovalID]]&lt;&gt;"",COUNTIFS(tblApprovals[TransactionID],tblTransactions[[#This Row],[TransactionID]],tblApprovals[ApprovalID],tblTransactions[[#This Row],[ApprovalID]])=0),"R3 - Missing or Mismatched Approval Record", "")</f>
        <v/>
      </c>
      <c r="L3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 t="str">
        <f>IF(AND(tblTransactions[[#This Row],[TransactionStatus]]="Success",COUNTIF(tblSettlement[TransactionID],tblTransactions[[#This Row],[TransactionID]])=0)," R5 - Successful Transaction Not Settled", "")</f>
        <v xml:space="preserve"> R5 - Successful Transaction Not Settled</v>
      </c>
      <c r="N32" t="str">
        <f>IF(AND(COUNTIF(tblSettlement[TransactionID],tblTransactions[[#This Row],[TransactionID]])&gt;0,tblTransactions[[#This Row],[Amount]]&lt;&gt;SUMIF(tblSettlement[TransactionID],tblTransactions[[#This Row],[TransactionID]],tblSettlement[SettledAmount]))," R6 - Settlement Amount Mismatch", "")</f>
        <v/>
      </c>
      <c r="O32" t="str">
        <f>IF(AND(tblTransactions[[#This Row],[CustomerRef]] &lt;&gt;"",COUNTIFS(tblTransactions[CustomerRef],tblTransactions[[#This Row],[CustomerRef]],tblTransactions[Amount],tblTransactions[[#This Row],[Amount]],tblTransactions[Date],tblTransactions[[#This Row],[Date]])&gt;1),"Yes","No")</f>
        <v>No</v>
      </c>
    </row>
    <row r="33" spans="1:15" x14ac:dyDescent="0.3">
      <c r="A33" t="s">
        <v>110</v>
      </c>
      <c r="B33" s="2">
        <v>46211.359027777777</v>
      </c>
      <c r="C33" t="s">
        <v>19</v>
      </c>
      <c r="D33" t="s">
        <v>69</v>
      </c>
      <c r="E33" s="6">
        <v>35889.94</v>
      </c>
      <c r="F33" t="s">
        <v>111</v>
      </c>
      <c r="H33" t="s">
        <v>112</v>
      </c>
      <c r="I33" s="116">
        <f>INT(tblTransactions[[#This Row],[TransactionDate]])</f>
        <v>46211</v>
      </c>
      <c r="J33" t="str">
        <f>IF(tblTransactions[[#This Row],[ApprovalID]]="", "R2 - Missing Approval Reference", "")</f>
        <v>R2 - Missing Approval Reference</v>
      </c>
      <c r="K33" t="str">
        <f>IF(AND(tblTransactions[[#This Row],[ApprovalID]]&lt;&gt;"",COUNTIFS(tblApprovals[TransactionID],tblTransactions[[#This Row],[TransactionID]],tblApprovals[ApprovalID],tblTransactions[[#This Row],[ApprovalID]])=0),"R3 - Missing or Mismatched Approval Record", "")</f>
        <v/>
      </c>
      <c r="L3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 t="str">
        <f>IF(AND(tblTransactions[[#This Row],[TransactionStatus]]="Success",COUNTIF(tblSettlement[TransactionID],tblTransactions[[#This Row],[TransactionID]])=0)," R5 - Successful Transaction Not Settled", "")</f>
        <v/>
      </c>
      <c r="N33" t="str">
        <f>IF(AND(COUNTIF(tblSettlement[TransactionID],tblTransactions[[#This Row],[TransactionID]])&gt;0,tblTransactions[[#This Row],[Amount]]&lt;&gt;SUMIF(tblSettlement[TransactionID],tblTransactions[[#This Row],[TransactionID]],tblSettlement[SettledAmount]))," R6 - Settlement Amount Mismatch", "")</f>
        <v/>
      </c>
      <c r="O33" t="str">
        <f>IF(AND(tblTransactions[[#This Row],[CustomerRef]] &lt;&gt;"",COUNTIFS(tblTransactions[CustomerRef],tblTransactions[[#This Row],[CustomerRef]],tblTransactions[Amount],tblTransactions[[#This Row],[Amount]],tblTransactions[Date],tblTransactions[[#This Row],[Date]])&gt;1),"Yes","No")</f>
        <v>No</v>
      </c>
    </row>
    <row r="34" spans="1:15" x14ac:dyDescent="0.3">
      <c r="A34" t="s">
        <v>113</v>
      </c>
      <c r="B34" s="2">
        <v>46214.882638888892</v>
      </c>
      <c r="C34" t="s">
        <v>9</v>
      </c>
      <c r="D34" t="s">
        <v>29</v>
      </c>
      <c r="E34" s="6">
        <v>5371.97</v>
      </c>
      <c r="F34" t="s">
        <v>11</v>
      </c>
      <c r="G34" t="s">
        <v>114</v>
      </c>
      <c r="H34" t="s">
        <v>115</v>
      </c>
      <c r="I34" s="116">
        <f>INT(tblTransactions[[#This Row],[TransactionDate]])</f>
        <v>46214</v>
      </c>
      <c r="J34" t="str">
        <f>IF(tblTransactions[[#This Row],[ApprovalID]]="", "R2 - Missing Approval Reference", "")</f>
        <v/>
      </c>
      <c r="K34" t="str">
        <f>IF(AND(tblTransactions[[#This Row],[ApprovalID]]&lt;&gt;"",COUNTIFS(tblApprovals[TransactionID],tblTransactions[[#This Row],[TransactionID]],tblApprovals[ApprovalID],tblTransactions[[#This Row],[ApprovalID]])=0),"R3 - Missing or Mismatched Approval Record", "")</f>
        <v/>
      </c>
      <c r="L3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 t="str">
        <f>IF(AND(tblTransactions[[#This Row],[TransactionStatus]]="Success",COUNTIF(tblSettlement[TransactionID],tblTransactions[[#This Row],[TransactionID]])=0)," R5 - Successful Transaction Not Settled", "")</f>
        <v/>
      </c>
      <c r="N34" t="str">
        <f>IF(AND(COUNTIF(tblSettlement[TransactionID],tblTransactions[[#This Row],[TransactionID]])&gt;0,tblTransactions[[#This Row],[Amount]]&lt;&gt;SUMIF(tblSettlement[TransactionID],tblTransactions[[#This Row],[TransactionID]],tblSettlement[SettledAmount]))," R6 - Settlement Amount Mismatch", "")</f>
        <v/>
      </c>
      <c r="O34" t="str">
        <f>IF(AND(tblTransactions[[#This Row],[CustomerRef]] &lt;&gt;"",COUNTIFS(tblTransactions[CustomerRef],tblTransactions[[#This Row],[CustomerRef]],tblTransactions[Amount],tblTransactions[[#This Row],[Amount]],tblTransactions[Date],tblTransactions[[#This Row],[Date]])&gt;1),"Yes","No")</f>
        <v>No</v>
      </c>
    </row>
    <row r="35" spans="1:15" x14ac:dyDescent="0.3">
      <c r="A35" t="s">
        <v>116</v>
      </c>
      <c r="B35" s="2">
        <v>46278.709722222222</v>
      </c>
      <c r="C35" t="s">
        <v>19</v>
      </c>
      <c r="D35" t="s">
        <v>15</v>
      </c>
      <c r="E35" s="6">
        <v>46548.77</v>
      </c>
      <c r="F35" t="s">
        <v>11</v>
      </c>
      <c r="G35" t="s">
        <v>117</v>
      </c>
      <c r="H35" t="s">
        <v>118</v>
      </c>
      <c r="I35" s="116">
        <f>INT(tblTransactions[[#This Row],[TransactionDate]])</f>
        <v>46278</v>
      </c>
      <c r="J35" t="str">
        <f>IF(tblTransactions[[#This Row],[ApprovalID]]="", "R2 - Missing Approval Reference", "")</f>
        <v/>
      </c>
      <c r="K35" t="str">
        <f>IF(AND(tblTransactions[[#This Row],[ApprovalID]]&lt;&gt;"",COUNTIFS(tblApprovals[TransactionID],tblTransactions[[#This Row],[TransactionID]],tblApprovals[ApprovalID],tblTransactions[[#This Row],[ApprovalID]])=0),"R3 - Missing or Mismatched Approval Record", "")</f>
        <v/>
      </c>
      <c r="L3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 t="str">
        <f>IF(AND(tblTransactions[[#This Row],[TransactionStatus]]="Success",COUNTIF(tblSettlement[TransactionID],tblTransactions[[#This Row],[TransactionID]])=0)," R5 - Successful Transaction Not Settled", "")</f>
        <v/>
      </c>
      <c r="N35" t="str">
        <f>IF(AND(COUNTIF(tblSettlement[TransactionID],tblTransactions[[#This Row],[TransactionID]])&gt;0,tblTransactions[[#This Row],[Amount]]&lt;&gt;SUMIF(tblSettlement[TransactionID],tblTransactions[[#This Row],[TransactionID]],tblSettlement[SettledAmount]))," R6 - Settlement Amount Mismatch", "")</f>
        <v/>
      </c>
      <c r="O35" t="str">
        <f>IF(AND(tblTransactions[[#This Row],[CustomerRef]] &lt;&gt;"",COUNTIFS(tblTransactions[CustomerRef],tblTransactions[[#This Row],[CustomerRef]],tblTransactions[Amount],tblTransactions[[#This Row],[Amount]],tblTransactions[Date],tblTransactions[[#This Row],[Date]])&gt;1),"Yes","No")</f>
        <v>No</v>
      </c>
    </row>
    <row r="36" spans="1:15" x14ac:dyDescent="0.3">
      <c r="A36" t="s">
        <v>119</v>
      </c>
      <c r="B36" s="2">
        <v>46230.78125</v>
      </c>
      <c r="C36" t="s">
        <v>9</v>
      </c>
      <c r="D36" t="s">
        <v>20</v>
      </c>
      <c r="E36" s="6">
        <v>23735.24</v>
      </c>
      <c r="F36" t="s">
        <v>11</v>
      </c>
      <c r="G36" t="s">
        <v>120</v>
      </c>
      <c r="H36" t="s">
        <v>121</v>
      </c>
      <c r="I36" s="116">
        <f>INT(tblTransactions[[#This Row],[TransactionDate]])</f>
        <v>46230</v>
      </c>
      <c r="J36" t="str">
        <f>IF(tblTransactions[[#This Row],[ApprovalID]]="", "R2 - Missing Approval Reference", "")</f>
        <v/>
      </c>
      <c r="K36" t="str">
        <f>IF(AND(tblTransactions[[#This Row],[ApprovalID]]&lt;&gt;"",COUNTIFS(tblApprovals[TransactionID],tblTransactions[[#This Row],[TransactionID]],tblApprovals[ApprovalID],tblTransactions[[#This Row],[ApprovalID]])=0),"R3 - Missing or Mismatched Approval Record", "")</f>
        <v/>
      </c>
      <c r="L3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 t="str">
        <f>IF(AND(tblTransactions[[#This Row],[TransactionStatus]]="Success",COUNTIF(tblSettlement[TransactionID],tblTransactions[[#This Row],[TransactionID]])=0)," R5 - Successful Transaction Not Settled", "")</f>
        <v/>
      </c>
      <c r="N36" t="str">
        <f>IF(AND(COUNTIF(tblSettlement[TransactionID],tblTransactions[[#This Row],[TransactionID]])&gt;0,tblTransactions[[#This Row],[Amount]]&lt;&gt;SUMIF(tblSettlement[TransactionID],tblTransactions[[#This Row],[TransactionID]],tblSettlement[SettledAmount]))," R6 - Settlement Amount Mismatch", "")</f>
        <v/>
      </c>
      <c r="O36" t="str">
        <f>IF(AND(tblTransactions[[#This Row],[CustomerRef]] &lt;&gt;"",COUNTIFS(tblTransactions[CustomerRef],tblTransactions[[#This Row],[CustomerRef]],tblTransactions[Amount],tblTransactions[[#This Row],[Amount]],tblTransactions[Date],tblTransactions[[#This Row],[Date]])&gt;1),"Yes","No")</f>
        <v>No</v>
      </c>
    </row>
    <row r="37" spans="1:15" x14ac:dyDescent="0.3">
      <c r="A37" t="s">
        <v>122</v>
      </c>
      <c r="B37" s="2">
        <v>46205.652083333334</v>
      </c>
      <c r="C37" t="s">
        <v>47</v>
      </c>
      <c r="D37" t="s">
        <v>15</v>
      </c>
      <c r="E37" s="6">
        <v>74884.47</v>
      </c>
      <c r="F37" t="s">
        <v>36</v>
      </c>
      <c r="G37" t="s">
        <v>123</v>
      </c>
      <c r="H37" t="s">
        <v>124</v>
      </c>
      <c r="I37" s="116">
        <f>INT(tblTransactions[[#This Row],[TransactionDate]])</f>
        <v>46205</v>
      </c>
      <c r="J37" t="str">
        <f>IF(tblTransactions[[#This Row],[ApprovalID]]="", "R2 - Missing Approval Reference", "")</f>
        <v/>
      </c>
      <c r="K37" t="str">
        <f>IF(AND(tblTransactions[[#This Row],[ApprovalID]]&lt;&gt;"",COUNTIFS(tblApprovals[TransactionID],tblTransactions[[#This Row],[TransactionID]],tblApprovals[ApprovalID],tblTransactions[[#This Row],[ApprovalID]])=0),"R3 - Missing or Mismatched Approval Record", "")</f>
        <v/>
      </c>
      <c r="L3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 t="str">
        <f>IF(AND(tblTransactions[[#This Row],[TransactionStatus]]="Success",COUNTIF(tblSettlement[TransactionID],tblTransactions[[#This Row],[TransactionID]])=0)," R5 - Successful Transaction Not Settled", "")</f>
        <v/>
      </c>
      <c r="N37" t="str">
        <f>IF(AND(COUNTIF(tblSettlement[TransactionID],tblTransactions[[#This Row],[TransactionID]])&gt;0,tblTransactions[[#This Row],[Amount]]&lt;&gt;SUMIF(tblSettlement[TransactionID],tblTransactions[[#This Row],[TransactionID]],tblSettlement[SettledAmount]))," R6 - Settlement Amount Mismatch", "")</f>
        <v/>
      </c>
      <c r="O37" t="str">
        <f>IF(AND(tblTransactions[[#This Row],[CustomerRef]] &lt;&gt;"",COUNTIFS(tblTransactions[CustomerRef],tblTransactions[[#This Row],[CustomerRef]],tblTransactions[Amount],tblTransactions[[#This Row],[Amount]],tblTransactions[Date],tblTransactions[[#This Row],[Date]])&gt;1),"Yes","No")</f>
        <v>No</v>
      </c>
    </row>
    <row r="38" spans="1:15" x14ac:dyDescent="0.3">
      <c r="A38" t="s">
        <v>125</v>
      </c>
      <c r="B38" s="2">
        <v>46220.931944444441</v>
      </c>
      <c r="C38" t="s">
        <v>24</v>
      </c>
      <c r="D38" t="s">
        <v>20</v>
      </c>
      <c r="E38" s="6">
        <v>66094.600000000006</v>
      </c>
      <c r="F38" t="s">
        <v>11</v>
      </c>
      <c r="G38" t="s">
        <v>126</v>
      </c>
      <c r="H38" t="s">
        <v>127</v>
      </c>
      <c r="I38" s="116">
        <f>INT(tblTransactions[[#This Row],[TransactionDate]])</f>
        <v>46220</v>
      </c>
      <c r="J38" t="str">
        <f>IF(tblTransactions[[#This Row],[ApprovalID]]="", "R2 - Missing Approval Reference", "")</f>
        <v/>
      </c>
      <c r="K38" t="str">
        <f>IF(AND(tblTransactions[[#This Row],[ApprovalID]]&lt;&gt;"",COUNTIFS(tblApprovals[TransactionID],tblTransactions[[#This Row],[TransactionID]],tblApprovals[ApprovalID],tblTransactions[[#This Row],[ApprovalID]])=0),"R3 - Missing or Mismatched Approval Record", "")</f>
        <v/>
      </c>
      <c r="L3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 t="str">
        <f>IF(AND(tblTransactions[[#This Row],[TransactionStatus]]="Success",COUNTIF(tblSettlement[TransactionID],tblTransactions[[#This Row],[TransactionID]])=0)," R5 - Successful Transaction Not Settled", "")</f>
        <v/>
      </c>
      <c r="N38" t="str">
        <f>IF(AND(COUNTIF(tblSettlement[TransactionID],tblTransactions[[#This Row],[TransactionID]])&gt;0,tblTransactions[[#This Row],[Amount]]&lt;&gt;SUMIF(tblSettlement[TransactionID],tblTransactions[[#This Row],[TransactionID]],tblSettlement[SettledAmount]))," R6 - Settlement Amount Mismatch", "")</f>
        <v/>
      </c>
      <c r="O38" t="str">
        <f>IF(AND(tblTransactions[[#This Row],[CustomerRef]] &lt;&gt;"",COUNTIFS(tblTransactions[CustomerRef],tblTransactions[[#This Row],[CustomerRef]],tblTransactions[Amount],tblTransactions[[#This Row],[Amount]],tblTransactions[Date],tblTransactions[[#This Row],[Date]])&gt;1),"Yes","No")</f>
        <v>No</v>
      </c>
    </row>
    <row r="39" spans="1:15" x14ac:dyDescent="0.3">
      <c r="A39" t="s">
        <v>128</v>
      </c>
      <c r="B39" s="2">
        <v>46294.527083333334</v>
      </c>
      <c r="C39" t="s">
        <v>19</v>
      </c>
      <c r="D39" t="s">
        <v>10</v>
      </c>
      <c r="E39" s="6">
        <v>73793.03</v>
      </c>
      <c r="F39" t="s">
        <v>11</v>
      </c>
      <c r="G39" t="s">
        <v>129</v>
      </c>
      <c r="H39" t="s">
        <v>130</v>
      </c>
      <c r="I39" s="116">
        <f>INT(tblTransactions[[#This Row],[TransactionDate]])</f>
        <v>46294</v>
      </c>
      <c r="J39" t="str">
        <f>IF(tblTransactions[[#This Row],[ApprovalID]]="", "R2 - Missing Approval Reference", "")</f>
        <v/>
      </c>
      <c r="K39" t="str">
        <f>IF(AND(tblTransactions[[#This Row],[ApprovalID]]&lt;&gt;"",COUNTIFS(tblApprovals[TransactionID],tblTransactions[[#This Row],[TransactionID]],tblApprovals[ApprovalID],tblTransactions[[#This Row],[ApprovalID]])=0),"R3 - Missing or Mismatched Approval Record", "")</f>
        <v/>
      </c>
      <c r="L3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 t="str">
        <f>IF(AND(tblTransactions[[#This Row],[TransactionStatus]]="Success",COUNTIF(tblSettlement[TransactionID],tblTransactions[[#This Row],[TransactionID]])=0)," R5 - Successful Transaction Not Settled", "")</f>
        <v/>
      </c>
      <c r="N39" t="str">
        <f>IF(AND(COUNTIF(tblSettlement[TransactionID],tblTransactions[[#This Row],[TransactionID]])&gt;0,tblTransactions[[#This Row],[Amount]]&lt;&gt;SUMIF(tblSettlement[TransactionID],tblTransactions[[#This Row],[TransactionID]],tblSettlement[SettledAmount]))," R6 - Settlement Amount Mismatch", "")</f>
        <v/>
      </c>
      <c r="O39" t="str">
        <f>IF(AND(tblTransactions[[#This Row],[CustomerRef]] &lt;&gt;"",COUNTIFS(tblTransactions[CustomerRef],tblTransactions[[#This Row],[CustomerRef]],tblTransactions[Amount],tblTransactions[[#This Row],[Amount]],tblTransactions[Date],tblTransactions[[#This Row],[Date]])&gt;1),"Yes","No")</f>
        <v>No</v>
      </c>
    </row>
    <row r="40" spans="1:15" x14ac:dyDescent="0.3">
      <c r="A40" t="s">
        <v>131</v>
      </c>
      <c r="B40" s="2">
        <v>46288.413888888892</v>
      </c>
      <c r="C40" t="s">
        <v>47</v>
      </c>
      <c r="D40" t="s">
        <v>15</v>
      </c>
      <c r="E40" s="6">
        <v>10288.26</v>
      </c>
      <c r="F40" t="s">
        <v>11</v>
      </c>
      <c r="G40" t="s">
        <v>132</v>
      </c>
      <c r="H40" t="s">
        <v>133</v>
      </c>
      <c r="I40" s="116">
        <f>INT(tblTransactions[[#This Row],[TransactionDate]])</f>
        <v>46288</v>
      </c>
      <c r="J40" t="str">
        <f>IF(tblTransactions[[#This Row],[ApprovalID]]="", "R2 - Missing Approval Reference", "")</f>
        <v/>
      </c>
      <c r="K40" t="str">
        <f>IF(AND(tblTransactions[[#This Row],[ApprovalID]]&lt;&gt;"",COUNTIFS(tblApprovals[TransactionID],tblTransactions[[#This Row],[TransactionID]],tblApprovals[ApprovalID],tblTransactions[[#This Row],[ApprovalID]])=0),"R3 - Missing or Mismatched Approval Record", "")</f>
        <v/>
      </c>
      <c r="L4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 t="str">
        <f>IF(AND(tblTransactions[[#This Row],[TransactionStatus]]="Success",COUNTIF(tblSettlement[TransactionID],tblTransactions[[#This Row],[TransactionID]])=0)," R5 - Successful Transaction Not Settled", "")</f>
        <v/>
      </c>
      <c r="N40" t="str">
        <f>IF(AND(COUNTIF(tblSettlement[TransactionID],tblTransactions[[#This Row],[TransactionID]])&gt;0,tblTransactions[[#This Row],[Amount]]&lt;&gt;SUMIF(tblSettlement[TransactionID],tblTransactions[[#This Row],[TransactionID]],tblSettlement[SettledAmount]))," R6 - Settlement Amount Mismatch", "")</f>
        <v/>
      </c>
      <c r="O40" t="str">
        <f>IF(AND(tblTransactions[[#This Row],[CustomerRef]] &lt;&gt;"",COUNTIFS(tblTransactions[CustomerRef],tblTransactions[[#This Row],[CustomerRef]],tblTransactions[Amount],tblTransactions[[#This Row],[Amount]],tblTransactions[Date],tblTransactions[[#This Row],[Date]])&gt;1),"Yes","No")</f>
        <v>No</v>
      </c>
    </row>
    <row r="41" spans="1:15" x14ac:dyDescent="0.3">
      <c r="A41" t="s">
        <v>134</v>
      </c>
      <c r="B41" s="2">
        <v>46281.489583333336</v>
      </c>
      <c r="C41" t="s">
        <v>24</v>
      </c>
      <c r="D41" t="s">
        <v>15</v>
      </c>
      <c r="E41" s="6">
        <v>25880.3</v>
      </c>
      <c r="F41" t="s">
        <v>11</v>
      </c>
      <c r="G41" t="s">
        <v>135</v>
      </c>
      <c r="H41" t="s">
        <v>136</v>
      </c>
      <c r="I41" s="116">
        <f>INT(tblTransactions[[#This Row],[TransactionDate]])</f>
        <v>46281</v>
      </c>
      <c r="J41" t="str">
        <f>IF(tblTransactions[[#This Row],[ApprovalID]]="", "R2 - Missing Approval Reference", "")</f>
        <v/>
      </c>
      <c r="K41" t="str">
        <f>IF(AND(tblTransactions[[#This Row],[ApprovalID]]&lt;&gt;"",COUNTIFS(tblApprovals[TransactionID],tblTransactions[[#This Row],[TransactionID]],tblApprovals[ApprovalID],tblTransactions[[#This Row],[ApprovalID]])=0),"R3 - Missing or Mismatched Approval Record", "")</f>
        <v/>
      </c>
      <c r="L4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 t="str">
        <f>IF(AND(tblTransactions[[#This Row],[TransactionStatus]]="Success",COUNTIF(tblSettlement[TransactionID],tblTransactions[[#This Row],[TransactionID]])=0)," R5 - Successful Transaction Not Settled", "")</f>
        <v/>
      </c>
      <c r="N41" t="str">
        <f>IF(AND(COUNTIF(tblSettlement[TransactionID],tblTransactions[[#This Row],[TransactionID]])&gt;0,tblTransactions[[#This Row],[Amount]]&lt;&gt;SUMIF(tblSettlement[TransactionID],tblTransactions[[#This Row],[TransactionID]],tblSettlement[SettledAmount]))," R6 - Settlement Amount Mismatch", "")</f>
        <v/>
      </c>
      <c r="O41" t="str">
        <f>IF(AND(tblTransactions[[#This Row],[CustomerRef]] &lt;&gt;"",COUNTIFS(tblTransactions[CustomerRef],tblTransactions[[#This Row],[CustomerRef]],tblTransactions[Amount],tblTransactions[[#This Row],[Amount]],tblTransactions[Date],tblTransactions[[#This Row],[Date]])&gt;1),"Yes","No")</f>
        <v>No</v>
      </c>
    </row>
    <row r="42" spans="1:15" x14ac:dyDescent="0.3">
      <c r="A42" t="s">
        <v>137</v>
      </c>
      <c r="B42" s="2">
        <v>46215.768750000003</v>
      </c>
      <c r="C42" t="s">
        <v>24</v>
      </c>
      <c r="D42" t="s">
        <v>69</v>
      </c>
      <c r="E42" s="6">
        <v>62243.77</v>
      </c>
      <c r="F42" t="s">
        <v>11</v>
      </c>
      <c r="G42" t="s">
        <v>138</v>
      </c>
      <c r="H42" t="s">
        <v>139</v>
      </c>
      <c r="I42" s="116">
        <f>INT(tblTransactions[[#This Row],[TransactionDate]])</f>
        <v>46215</v>
      </c>
      <c r="J42" t="str">
        <f>IF(tblTransactions[[#This Row],[ApprovalID]]="", "R2 - Missing Approval Reference", "")</f>
        <v/>
      </c>
      <c r="K42" t="str">
        <f>IF(AND(tblTransactions[[#This Row],[ApprovalID]]&lt;&gt;"",COUNTIFS(tblApprovals[TransactionID],tblTransactions[[#This Row],[TransactionID]],tblApprovals[ApprovalID],tblTransactions[[#This Row],[ApprovalID]])=0),"R3 - Missing or Mismatched Approval Record", "")</f>
        <v/>
      </c>
      <c r="L4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 t="str">
        <f>IF(AND(tblTransactions[[#This Row],[TransactionStatus]]="Success",COUNTIF(tblSettlement[TransactionID],tblTransactions[[#This Row],[TransactionID]])=0)," R5 - Successful Transaction Not Settled", "")</f>
        <v/>
      </c>
      <c r="N42" t="str">
        <f>IF(AND(COUNTIF(tblSettlement[TransactionID],tblTransactions[[#This Row],[TransactionID]])&gt;0,tblTransactions[[#This Row],[Amount]]&lt;&gt;SUMIF(tblSettlement[TransactionID],tblTransactions[[#This Row],[TransactionID]],tblSettlement[SettledAmount]))," R6 - Settlement Amount Mismatch", "")</f>
        <v/>
      </c>
      <c r="O42" t="str">
        <f>IF(AND(tblTransactions[[#This Row],[CustomerRef]] &lt;&gt;"",COUNTIFS(tblTransactions[CustomerRef],tblTransactions[[#This Row],[CustomerRef]],tblTransactions[Amount],tblTransactions[[#This Row],[Amount]],tblTransactions[Date],tblTransactions[[#This Row],[Date]])&gt;1),"Yes","No")</f>
        <v>No</v>
      </c>
    </row>
    <row r="43" spans="1:15" x14ac:dyDescent="0.3">
      <c r="A43" t="s">
        <v>140</v>
      </c>
      <c r="B43" s="2">
        <v>46224.811111111114</v>
      </c>
      <c r="C43" t="s">
        <v>47</v>
      </c>
      <c r="D43" t="s">
        <v>10</v>
      </c>
      <c r="E43" s="6">
        <v>41488.11</v>
      </c>
      <c r="F43" t="s">
        <v>11</v>
      </c>
      <c r="H43" t="s">
        <v>141</v>
      </c>
      <c r="I43" s="116">
        <f>INT(tblTransactions[[#This Row],[TransactionDate]])</f>
        <v>46224</v>
      </c>
      <c r="J43" t="str">
        <f>IF(tblTransactions[[#This Row],[ApprovalID]]="", "R2 - Missing Approval Reference", "")</f>
        <v>R2 - Missing Approval Reference</v>
      </c>
      <c r="K43" t="str">
        <f>IF(AND(tblTransactions[[#This Row],[ApprovalID]]&lt;&gt;"",COUNTIFS(tblApprovals[TransactionID],tblTransactions[[#This Row],[TransactionID]],tblApprovals[ApprovalID],tblTransactions[[#This Row],[ApprovalID]])=0),"R3 - Missing or Mismatched Approval Record", "")</f>
        <v/>
      </c>
      <c r="L4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 t="str">
        <f>IF(AND(tblTransactions[[#This Row],[TransactionStatus]]="Success",COUNTIF(tblSettlement[TransactionID],tblTransactions[[#This Row],[TransactionID]])=0)," R5 - Successful Transaction Not Settled", "")</f>
        <v xml:space="preserve"> R5 - Successful Transaction Not Settled</v>
      </c>
      <c r="N43" t="str">
        <f>IF(AND(COUNTIF(tblSettlement[TransactionID],tblTransactions[[#This Row],[TransactionID]])&gt;0,tblTransactions[[#This Row],[Amount]]&lt;&gt;SUMIF(tblSettlement[TransactionID],tblTransactions[[#This Row],[TransactionID]],tblSettlement[SettledAmount]))," R6 - Settlement Amount Mismatch", "")</f>
        <v/>
      </c>
      <c r="O43" t="str">
        <f>IF(AND(tblTransactions[[#This Row],[CustomerRef]] &lt;&gt;"",COUNTIFS(tblTransactions[CustomerRef],tblTransactions[[#This Row],[CustomerRef]],tblTransactions[Amount],tblTransactions[[#This Row],[Amount]],tblTransactions[Date],tblTransactions[[#This Row],[Date]])&gt;1),"Yes","No")</f>
        <v>No</v>
      </c>
    </row>
    <row r="44" spans="1:15" x14ac:dyDescent="0.3">
      <c r="A44" t="s">
        <v>142</v>
      </c>
      <c r="B44" s="2">
        <v>46273.370138888888</v>
      </c>
      <c r="C44" t="s">
        <v>43</v>
      </c>
      <c r="D44" t="s">
        <v>69</v>
      </c>
      <c r="E44" s="6">
        <v>27848.89</v>
      </c>
      <c r="F44" t="s">
        <v>11</v>
      </c>
      <c r="H44" t="s">
        <v>143</v>
      </c>
      <c r="I44" s="116">
        <f>INT(tblTransactions[[#This Row],[TransactionDate]])</f>
        <v>46273</v>
      </c>
      <c r="J44" t="str">
        <f>IF(tblTransactions[[#This Row],[ApprovalID]]="", "R2 - Missing Approval Reference", "")</f>
        <v>R2 - Missing Approval Reference</v>
      </c>
      <c r="K44" t="str">
        <f>IF(AND(tblTransactions[[#This Row],[ApprovalID]]&lt;&gt;"",COUNTIFS(tblApprovals[TransactionID],tblTransactions[[#This Row],[TransactionID]],tblApprovals[ApprovalID],tblTransactions[[#This Row],[ApprovalID]])=0),"R3 - Missing or Mismatched Approval Record", "")</f>
        <v/>
      </c>
      <c r="L4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 t="str">
        <f>IF(AND(tblTransactions[[#This Row],[TransactionStatus]]="Success",COUNTIF(tblSettlement[TransactionID],tblTransactions[[#This Row],[TransactionID]])=0)," R5 - Successful Transaction Not Settled", "")</f>
        <v/>
      </c>
      <c r="N44" t="str">
        <f>IF(AND(COUNTIF(tblSettlement[TransactionID],tblTransactions[[#This Row],[TransactionID]])&gt;0,tblTransactions[[#This Row],[Amount]]&lt;&gt;SUMIF(tblSettlement[TransactionID],tblTransactions[[#This Row],[TransactionID]],tblSettlement[SettledAmount]))," R6 - Settlement Amount Mismatch", "")</f>
        <v/>
      </c>
      <c r="O44" t="str">
        <f>IF(AND(tblTransactions[[#This Row],[CustomerRef]] &lt;&gt;"",COUNTIFS(tblTransactions[CustomerRef],tblTransactions[[#This Row],[CustomerRef]],tblTransactions[Amount],tblTransactions[[#This Row],[Amount]],tblTransactions[Date],tblTransactions[[#This Row],[Date]])&gt;1),"Yes","No")</f>
        <v>No</v>
      </c>
    </row>
    <row r="45" spans="1:15" x14ac:dyDescent="0.3">
      <c r="A45" t="s">
        <v>144</v>
      </c>
      <c r="B45" s="2">
        <v>46209.931944444441</v>
      </c>
      <c r="C45" t="s">
        <v>47</v>
      </c>
      <c r="D45" t="s">
        <v>20</v>
      </c>
      <c r="E45" s="6">
        <v>15953.22</v>
      </c>
      <c r="F45" t="s">
        <v>11</v>
      </c>
      <c r="G45" t="s">
        <v>145</v>
      </c>
      <c r="H45" t="s">
        <v>146</v>
      </c>
      <c r="I45" s="116">
        <f>INT(tblTransactions[[#This Row],[TransactionDate]])</f>
        <v>46209</v>
      </c>
      <c r="J45" t="str">
        <f>IF(tblTransactions[[#This Row],[ApprovalID]]="", "R2 - Missing Approval Reference", "")</f>
        <v/>
      </c>
      <c r="K45" t="str">
        <f>IF(AND(tblTransactions[[#This Row],[ApprovalID]]&lt;&gt;"",COUNTIFS(tblApprovals[TransactionID],tblTransactions[[#This Row],[TransactionID]],tblApprovals[ApprovalID],tblTransactions[[#This Row],[ApprovalID]])=0),"R3 - Missing or Mismatched Approval Record", "")</f>
        <v/>
      </c>
      <c r="L4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 t="str">
        <f>IF(AND(tblTransactions[[#This Row],[TransactionStatus]]="Success",COUNTIF(tblSettlement[TransactionID],tblTransactions[[#This Row],[TransactionID]])=0)," R5 - Successful Transaction Not Settled", "")</f>
        <v/>
      </c>
      <c r="N45" t="str">
        <f>IF(AND(COUNTIF(tblSettlement[TransactionID],tblTransactions[[#This Row],[TransactionID]])&gt;0,tblTransactions[[#This Row],[Amount]]&lt;&gt;SUMIF(tblSettlement[TransactionID],tblTransactions[[#This Row],[TransactionID]],tblSettlement[SettledAmount]))," R6 - Settlement Amount Mismatch", "")</f>
        <v/>
      </c>
      <c r="O45" t="str">
        <f>IF(AND(tblTransactions[[#This Row],[CustomerRef]] &lt;&gt;"",COUNTIFS(tblTransactions[CustomerRef],tblTransactions[[#This Row],[CustomerRef]],tblTransactions[Amount],tblTransactions[[#This Row],[Amount]],tblTransactions[Date],tblTransactions[[#This Row],[Date]])&gt;1),"Yes","No")</f>
        <v>No</v>
      </c>
    </row>
    <row r="46" spans="1:15" x14ac:dyDescent="0.3">
      <c r="A46" t="s">
        <v>147</v>
      </c>
      <c r="B46" s="2">
        <v>46283.79791666667</v>
      </c>
      <c r="C46" t="s">
        <v>9</v>
      </c>
      <c r="D46" t="s">
        <v>69</v>
      </c>
      <c r="E46" s="6">
        <v>69450.850000000006</v>
      </c>
      <c r="F46" t="s">
        <v>11</v>
      </c>
      <c r="G46" t="s">
        <v>148</v>
      </c>
      <c r="H46" t="s">
        <v>149</v>
      </c>
      <c r="I46" s="116">
        <f>INT(tblTransactions[[#This Row],[TransactionDate]])</f>
        <v>46283</v>
      </c>
      <c r="J46" t="str">
        <f>IF(tblTransactions[[#This Row],[ApprovalID]]="", "R2 - Missing Approval Reference", "")</f>
        <v/>
      </c>
      <c r="K46" t="str">
        <f>IF(AND(tblTransactions[[#This Row],[ApprovalID]]&lt;&gt;"",COUNTIFS(tblApprovals[TransactionID],tblTransactions[[#This Row],[TransactionID]],tblApprovals[ApprovalID],tblTransactions[[#This Row],[ApprovalID]])=0),"R3 - Missing or Mismatched Approval Record", "")</f>
        <v/>
      </c>
      <c r="L4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 t="str">
        <f>IF(AND(tblTransactions[[#This Row],[TransactionStatus]]="Success",COUNTIF(tblSettlement[TransactionID],tblTransactions[[#This Row],[TransactionID]])=0)," R5 - Successful Transaction Not Settled", "")</f>
        <v/>
      </c>
      <c r="N46" t="str">
        <f>IF(AND(COUNTIF(tblSettlement[TransactionID],tblTransactions[[#This Row],[TransactionID]])&gt;0,tblTransactions[[#This Row],[Amount]]&lt;&gt;SUMIF(tblSettlement[TransactionID],tblTransactions[[#This Row],[TransactionID]],tblSettlement[SettledAmount]))," R6 - Settlement Amount Mismatch", "")</f>
        <v/>
      </c>
      <c r="O46" t="str">
        <f>IF(AND(tblTransactions[[#This Row],[CustomerRef]] &lt;&gt;"",COUNTIFS(tblTransactions[CustomerRef],tblTransactions[[#This Row],[CustomerRef]],tblTransactions[Amount],tblTransactions[[#This Row],[Amount]],tblTransactions[Date],tblTransactions[[#This Row],[Date]])&gt;1),"Yes","No")</f>
        <v>No</v>
      </c>
    </row>
    <row r="47" spans="1:15" x14ac:dyDescent="0.3">
      <c r="A47" t="s">
        <v>150</v>
      </c>
      <c r="B47" s="2">
        <v>46226.832638888889</v>
      </c>
      <c r="C47" t="s">
        <v>28</v>
      </c>
      <c r="D47" t="s">
        <v>69</v>
      </c>
      <c r="E47" s="6">
        <v>25080.86</v>
      </c>
      <c r="F47" t="s">
        <v>111</v>
      </c>
      <c r="G47" t="s">
        <v>151</v>
      </c>
      <c r="H47" t="s">
        <v>152</v>
      </c>
      <c r="I47" s="116">
        <f>INT(tblTransactions[[#This Row],[TransactionDate]])</f>
        <v>46226</v>
      </c>
      <c r="J47" t="str">
        <f>IF(tblTransactions[[#This Row],[ApprovalID]]="", "R2 - Missing Approval Reference", "")</f>
        <v/>
      </c>
      <c r="K47" t="str">
        <f>IF(AND(tblTransactions[[#This Row],[ApprovalID]]&lt;&gt;"",COUNTIFS(tblApprovals[TransactionID],tblTransactions[[#This Row],[TransactionID]],tblApprovals[ApprovalID],tblTransactions[[#This Row],[ApprovalID]])=0),"R3 - Missing or Mismatched Approval Record", "")</f>
        <v/>
      </c>
      <c r="L4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 t="str">
        <f>IF(AND(tblTransactions[[#This Row],[TransactionStatus]]="Success",COUNTIF(tblSettlement[TransactionID],tblTransactions[[#This Row],[TransactionID]])=0)," R5 - Successful Transaction Not Settled", "")</f>
        <v/>
      </c>
      <c r="N47" t="str">
        <f>IF(AND(COUNTIF(tblSettlement[TransactionID],tblTransactions[[#This Row],[TransactionID]])&gt;0,tblTransactions[[#This Row],[Amount]]&lt;&gt;SUMIF(tblSettlement[TransactionID],tblTransactions[[#This Row],[TransactionID]],tblSettlement[SettledAmount]))," R6 - Settlement Amount Mismatch", "")</f>
        <v/>
      </c>
      <c r="O47" t="str">
        <f>IF(AND(tblTransactions[[#This Row],[CustomerRef]] &lt;&gt;"",COUNTIFS(tblTransactions[CustomerRef],tblTransactions[[#This Row],[CustomerRef]],tblTransactions[Amount],tblTransactions[[#This Row],[Amount]],tblTransactions[Date],tblTransactions[[#This Row],[Date]])&gt;1),"Yes","No")</f>
        <v>Yes</v>
      </c>
    </row>
    <row r="48" spans="1:15" x14ac:dyDescent="0.3">
      <c r="A48" t="s">
        <v>153</v>
      </c>
      <c r="B48" s="2">
        <v>46252.876388888886</v>
      </c>
      <c r="C48" t="s">
        <v>43</v>
      </c>
      <c r="D48" t="s">
        <v>20</v>
      </c>
      <c r="E48" s="6">
        <v>64429.85</v>
      </c>
      <c r="F48" t="s">
        <v>11</v>
      </c>
      <c r="G48" t="s">
        <v>154</v>
      </c>
      <c r="H48" t="s">
        <v>155</v>
      </c>
      <c r="I48" s="116">
        <f>INT(tblTransactions[[#This Row],[TransactionDate]])</f>
        <v>46252</v>
      </c>
      <c r="J48" t="str">
        <f>IF(tblTransactions[[#This Row],[ApprovalID]]="", "R2 - Missing Approval Reference", "")</f>
        <v/>
      </c>
      <c r="K48" t="str">
        <f>IF(AND(tblTransactions[[#This Row],[ApprovalID]]&lt;&gt;"",COUNTIFS(tblApprovals[TransactionID],tblTransactions[[#This Row],[TransactionID]],tblApprovals[ApprovalID],tblTransactions[[#This Row],[ApprovalID]])=0),"R3 - Missing or Mismatched Approval Record", "")</f>
        <v/>
      </c>
      <c r="L4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 t="str">
        <f>IF(AND(tblTransactions[[#This Row],[TransactionStatus]]="Success",COUNTIF(tblSettlement[TransactionID],tblTransactions[[#This Row],[TransactionID]])=0)," R5 - Successful Transaction Not Settled", "")</f>
        <v/>
      </c>
      <c r="N48" t="str">
        <f>IF(AND(COUNTIF(tblSettlement[TransactionID],tblTransactions[[#This Row],[TransactionID]])&gt;0,tblTransactions[[#This Row],[Amount]]&lt;&gt;SUMIF(tblSettlement[TransactionID],tblTransactions[[#This Row],[TransactionID]],tblSettlement[SettledAmount]))," R6 - Settlement Amount Mismatch", "")</f>
        <v/>
      </c>
      <c r="O48" t="str">
        <f>IF(AND(tblTransactions[[#This Row],[CustomerRef]] &lt;&gt;"",COUNTIFS(tblTransactions[CustomerRef],tblTransactions[[#This Row],[CustomerRef]],tblTransactions[Amount],tblTransactions[[#This Row],[Amount]],tblTransactions[Date],tblTransactions[[#This Row],[Date]])&gt;1),"Yes","No")</f>
        <v>No</v>
      </c>
    </row>
    <row r="49" spans="1:15" x14ac:dyDescent="0.3">
      <c r="A49" t="s">
        <v>156</v>
      </c>
      <c r="B49" s="2">
        <v>46232.362500000003</v>
      </c>
      <c r="C49" t="s">
        <v>47</v>
      </c>
      <c r="D49" t="s">
        <v>20</v>
      </c>
      <c r="E49" s="6">
        <v>14686.45</v>
      </c>
      <c r="F49" t="s">
        <v>11</v>
      </c>
      <c r="G49" t="s">
        <v>157</v>
      </c>
      <c r="H49" t="s">
        <v>158</v>
      </c>
      <c r="I49" s="116">
        <f>INT(tblTransactions[[#This Row],[TransactionDate]])</f>
        <v>46232</v>
      </c>
      <c r="J49" t="str">
        <f>IF(tblTransactions[[#This Row],[ApprovalID]]="", "R2 - Missing Approval Reference", "")</f>
        <v/>
      </c>
      <c r="K49" t="str">
        <f>IF(AND(tblTransactions[[#This Row],[ApprovalID]]&lt;&gt;"",COUNTIFS(tblApprovals[TransactionID],tblTransactions[[#This Row],[TransactionID]],tblApprovals[ApprovalID],tblTransactions[[#This Row],[ApprovalID]])=0),"R3 - Missing or Mismatched Approval Record", "")</f>
        <v/>
      </c>
      <c r="L4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 t="str">
        <f>IF(AND(tblTransactions[[#This Row],[TransactionStatus]]="Success",COUNTIF(tblSettlement[TransactionID],tblTransactions[[#This Row],[TransactionID]])=0)," R5 - Successful Transaction Not Settled", "")</f>
        <v/>
      </c>
      <c r="N49"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49" t="str">
        <f>IF(AND(tblTransactions[[#This Row],[CustomerRef]] &lt;&gt;"",COUNTIFS(tblTransactions[CustomerRef],tblTransactions[[#This Row],[CustomerRef]],tblTransactions[Amount],tblTransactions[[#This Row],[Amount]],tblTransactions[Date],tblTransactions[[#This Row],[Date]])&gt;1),"Yes","No")</f>
        <v>No</v>
      </c>
    </row>
    <row r="50" spans="1:15" x14ac:dyDescent="0.3">
      <c r="A50" t="s">
        <v>159</v>
      </c>
      <c r="B50" s="2">
        <v>46255.786805555559</v>
      </c>
      <c r="C50" t="s">
        <v>47</v>
      </c>
      <c r="D50" t="s">
        <v>20</v>
      </c>
      <c r="E50" s="6">
        <v>40332.129999999997</v>
      </c>
      <c r="F50" t="s">
        <v>111</v>
      </c>
      <c r="G50" t="s">
        <v>160</v>
      </c>
      <c r="H50" t="s">
        <v>161</v>
      </c>
      <c r="I50" s="116">
        <f>INT(tblTransactions[[#This Row],[TransactionDate]])</f>
        <v>46255</v>
      </c>
      <c r="J50" t="str">
        <f>IF(tblTransactions[[#This Row],[ApprovalID]]="", "R2 - Missing Approval Reference", "")</f>
        <v/>
      </c>
      <c r="K50" t="str">
        <f>IF(AND(tblTransactions[[#This Row],[ApprovalID]]&lt;&gt;"",COUNTIFS(tblApprovals[TransactionID],tblTransactions[[#This Row],[TransactionID]],tblApprovals[ApprovalID],tblTransactions[[#This Row],[ApprovalID]])=0),"R3 - Missing or Mismatched Approval Record", "")</f>
        <v/>
      </c>
      <c r="L5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0" t="str">
        <f>IF(AND(tblTransactions[[#This Row],[TransactionStatus]]="Success",COUNTIF(tblSettlement[TransactionID],tblTransactions[[#This Row],[TransactionID]])=0)," R5 - Successful Transaction Not Settled", "")</f>
        <v/>
      </c>
      <c r="N50" t="str">
        <f>IF(AND(COUNTIF(tblSettlement[TransactionID],tblTransactions[[#This Row],[TransactionID]])&gt;0,tblTransactions[[#This Row],[Amount]]&lt;&gt;SUMIF(tblSettlement[TransactionID],tblTransactions[[#This Row],[TransactionID]],tblSettlement[SettledAmount]))," R6 - Settlement Amount Mismatch", "")</f>
        <v/>
      </c>
      <c r="O50" t="str">
        <f>IF(AND(tblTransactions[[#This Row],[CustomerRef]] &lt;&gt;"",COUNTIFS(tblTransactions[CustomerRef],tblTransactions[[#This Row],[CustomerRef]],tblTransactions[Amount],tblTransactions[[#This Row],[Amount]],tblTransactions[Date],tblTransactions[[#This Row],[Date]])&gt;1),"Yes","No")</f>
        <v>No</v>
      </c>
    </row>
    <row r="51" spans="1:15" x14ac:dyDescent="0.3">
      <c r="A51" t="s">
        <v>162</v>
      </c>
      <c r="B51" s="2">
        <v>46208.401388888888</v>
      </c>
      <c r="C51" t="s">
        <v>24</v>
      </c>
      <c r="D51" t="s">
        <v>29</v>
      </c>
      <c r="E51" s="6">
        <v>32733.64</v>
      </c>
      <c r="F51" t="s">
        <v>11</v>
      </c>
      <c r="G51" t="s">
        <v>163</v>
      </c>
      <c r="H51" t="s">
        <v>164</v>
      </c>
      <c r="I51" s="116">
        <f>INT(tblTransactions[[#This Row],[TransactionDate]])</f>
        <v>46208</v>
      </c>
      <c r="J51" t="str">
        <f>IF(tblTransactions[[#This Row],[ApprovalID]]="", "R2 - Missing Approval Reference", "")</f>
        <v/>
      </c>
      <c r="K51" t="str">
        <f>IF(AND(tblTransactions[[#This Row],[ApprovalID]]&lt;&gt;"",COUNTIFS(tblApprovals[TransactionID],tblTransactions[[#This Row],[TransactionID]],tblApprovals[ApprovalID],tblTransactions[[#This Row],[ApprovalID]])=0),"R3 - Missing or Mismatched Approval Record", "")</f>
        <v/>
      </c>
      <c r="L5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1" t="str">
        <f>IF(AND(tblTransactions[[#This Row],[TransactionStatus]]="Success",COUNTIF(tblSettlement[TransactionID],tblTransactions[[#This Row],[TransactionID]])=0)," R5 - Successful Transaction Not Settled", "")</f>
        <v/>
      </c>
      <c r="N51" t="str">
        <f>IF(AND(COUNTIF(tblSettlement[TransactionID],tblTransactions[[#This Row],[TransactionID]])&gt;0,tblTransactions[[#This Row],[Amount]]&lt;&gt;SUMIF(tblSettlement[TransactionID],tblTransactions[[#This Row],[TransactionID]],tblSettlement[SettledAmount]))," R6 - Settlement Amount Mismatch", "")</f>
        <v/>
      </c>
      <c r="O51" t="str">
        <f>IF(AND(tblTransactions[[#This Row],[CustomerRef]] &lt;&gt;"",COUNTIFS(tblTransactions[CustomerRef],tblTransactions[[#This Row],[CustomerRef]],tblTransactions[Amount],tblTransactions[[#This Row],[Amount]],tblTransactions[Date],tblTransactions[[#This Row],[Date]])&gt;1),"Yes","No")</f>
        <v>No</v>
      </c>
    </row>
    <row r="52" spans="1:15" x14ac:dyDescent="0.3">
      <c r="A52" t="s">
        <v>165</v>
      </c>
      <c r="B52" s="2">
        <v>46218.622916666667</v>
      </c>
      <c r="C52" t="s">
        <v>28</v>
      </c>
      <c r="D52" t="s">
        <v>29</v>
      </c>
      <c r="E52" s="6">
        <v>43349.96</v>
      </c>
      <c r="F52" t="s">
        <v>11</v>
      </c>
      <c r="H52" t="s">
        <v>166</v>
      </c>
      <c r="I52" s="116">
        <f>INT(tblTransactions[[#This Row],[TransactionDate]])</f>
        <v>46218</v>
      </c>
      <c r="J52" t="str">
        <f>IF(tblTransactions[[#This Row],[ApprovalID]]="", "R2 - Missing Approval Reference", "")</f>
        <v>R2 - Missing Approval Reference</v>
      </c>
      <c r="K52" t="str">
        <f>IF(AND(tblTransactions[[#This Row],[ApprovalID]]&lt;&gt;"",COUNTIFS(tblApprovals[TransactionID],tblTransactions[[#This Row],[TransactionID]],tblApprovals[ApprovalID],tblTransactions[[#This Row],[ApprovalID]])=0),"R3 - Missing or Mismatched Approval Record", "")</f>
        <v/>
      </c>
      <c r="L5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2" t="str">
        <f>IF(AND(tblTransactions[[#This Row],[TransactionStatus]]="Success",COUNTIF(tblSettlement[TransactionID],tblTransactions[[#This Row],[TransactionID]])=0)," R5 - Successful Transaction Not Settled", "")</f>
        <v/>
      </c>
      <c r="N52" t="str">
        <f>IF(AND(COUNTIF(tblSettlement[TransactionID],tblTransactions[[#This Row],[TransactionID]])&gt;0,tblTransactions[[#This Row],[Amount]]&lt;&gt;SUMIF(tblSettlement[TransactionID],tblTransactions[[#This Row],[TransactionID]],tblSettlement[SettledAmount]))," R6 - Settlement Amount Mismatch", "")</f>
        <v/>
      </c>
      <c r="O52" t="str">
        <f>IF(AND(tblTransactions[[#This Row],[CustomerRef]] &lt;&gt;"",COUNTIFS(tblTransactions[CustomerRef],tblTransactions[[#This Row],[CustomerRef]],tblTransactions[Amount],tblTransactions[[#This Row],[Amount]],tblTransactions[Date],tblTransactions[[#This Row],[Date]])&gt;1),"Yes","No")</f>
        <v>No</v>
      </c>
    </row>
    <row r="53" spans="1:15" x14ac:dyDescent="0.3">
      <c r="A53" t="s">
        <v>167</v>
      </c>
      <c r="B53" s="2">
        <v>46291.824305555558</v>
      </c>
      <c r="C53" t="s">
        <v>43</v>
      </c>
      <c r="D53" t="s">
        <v>10</v>
      </c>
      <c r="E53" s="6">
        <v>55343.57</v>
      </c>
      <c r="F53" t="s">
        <v>11</v>
      </c>
      <c r="G53" t="s">
        <v>168</v>
      </c>
      <c r="H53" t="s">
        <v>169</v>
      </c>
      <c r="I53" s="116">
        <f>INT(tblTransactions[[#This Row],[TransactionDate]])</f>
        <v>46291</v>
      </c>
      <c r="J53" t="str">
        <f>IF(tblTransactions[[#This Row],[ApprovalID]]="", "R2 - Missing Approval Reference", "")</f>
        <v/>
      </c>
      <c r="K53" t="str">
        <f>IF(AND(tblTransactions[[#This Row],[ApprovalID]]&lt;&gt;"",COUNTIFS(tblApprovals[TransactionID],tblTransactions[[#This Row],[TransactionID]],tblApprovals[ApprovalID],tblTransactions[[#This Row],[ApprovalID]])=0),"R3 - Missing or Mismatched Approval Record", "")</f>
        <v/>
      </c>
      <c r="L5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3" t="str">
        <f>IF(AND(tblTransactions[[#This Row],[TransactionStatus]]="Success",COUNTIF(tblSettlement[TransactionID],tblTransactions[[#This Row],[TransactionID]])=0)," R5 - Successful Transaction Not Settled", "")</f>
        <v/>
      </c>
      <c r="N53" t="str">
        <f>IF(AND(COUNTIF(tblSettlement[TransactionID],tblTransactions[[#This Row],[TransactionID]])&gt;0,tblTransactions[[#This Row],[Amount]]&lt;&gt;SUMIF(tblSettlement[TransactionID],tblTransactions[[#This Row],[TransactionID]],tblSettlement[SettledAmount]))," R6 - Settlement Amount Mismatch", "")</f>
        <v/>
      </c>
      <c r="O53" t="str">
        <f>IF(AND(tblTransactions[[#This Row],[CustomerRef]] &lt;&gt;"",COUNTIFS(tblTransactions[CustomerRef],tblTransactions[[#This Row],[CustomerRef]],tblTransactions[Amount],tblTransactions[[#This Row],[Amount]],tblTransactions[Date],tblTransactions[[#This Row],[Date]])&gt;1),"Yes","No")</f>
        <v>No</v>
      </c>
    </row>
    <row r="54" spans="1:15" x14ac:dyDescent="0.3">
      <c r="A54" t="s">
        <v>170</v>
      </c>
      <c r="B54" s="2">
        <v>46283.570833333331</v>
      </c>
      <c r="C54" t="s">
        <v>24</v>
      </c>
      <c r="D54" t="s">
        <v>15</v>
      </c>
      <c r="E54" s="6">
        <v>63639.14</v>
      </c>
      <c r="F54" t="s">
        <v>11</v>
      </c>
      <c r="G54" t="s">
        <v>171</v>
      </c>
      <c r="H54" t="s">
        <v>172</v>
      </c>
      <c r="I54" s="116">
        <f>INT(tblTransactions[[#This Row],[TransactionDate]])</f>
        <v>46283</v>
      </c>
      <c r="J54" t="str">
        <f>IF(tblTransactions[[#This Row],[ApprovalID]]="", "R2 - Missing Approval Reference", "")</f>
        <v/>
      </c>
      <c r="K54" t="str">
        <f>IF(AND(tblTransactions[[#This Row],[ApprovalID]]&lt;&gt;"",COUNTIFS(tblApprovals[TransactionID],tblTransactions[[#This Row],[TransactionID]],tblApprovals[ApprovalID],tblTransactions[[#This Row],[ApprovalID]])=0),"R3 - Missing or Mismatched Approval Record", "")</f>
        <v/>
      </c>
      <c r="L5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4" t="str">
        <f>IF(AND(tblTransactions[[#This Row],[TransactionStatus]]="Success",COUNTIF(tblSettlement[TransactionID],tblTransactions[[#This Row],[TransactionID]])=0)," R5 - Successful Transaction Not Settled", "")</f>
        <v/>
      </c>
      <c r="N54" t="str">
        <f>IF(AND(COUNTIF(tblSettlement[TransactionID],tblTransactions[[#This Row],[TransactionID]])&gt;0,tblTransactions[[#This Row],[Amount]]&lt;&gt;SUMIF(tblSettlement[TransactionID],tblTransactions[[#This Row],[TransactionID]],tblSettlement[SettledAmount]))," R6 - Settlement Amount Mismatch", "")</f>
        <v/>
      </c>
      <c r="O54" t="str">
        <f>IF(AND(tblTransactions[[#This Row],[CustomerRef]] &lt;&gt;"",COUNTIFS(tblTransactions[CustomerRef],tblTransactions[[#This Row],[CustomerRef]],tblTransactions[Amount],tblTransactions[[#This Row],[Amount]],tblTransactions[Date],tblTransactions[[#This Row],[Date]])&gt;1),"Yes","No")</f>
        <v>No</v>
      </c>
    </row>
    <row r="55" spans="1:15" x14ac:dyDescent="0.3">
      <c r="A55" t="s">
        <v>173</v>
      </c>
      <c r="B55" s="2">
        <v>46245.613888888889</v>
      </c>
      <c r="C55" t="s">
        <v>43</v>
      </c>
      <c r="D55" t="s">
        <v>29</v>
      </c>
      <c r="E55" s="6">
        <v>22350.23</v>
      </c>
      <c r="F55" t="s">
        <v>11</v>
      </c>
      <c r="G55" t="s">
        <v>174</v>
      </c>
      <c r="H55" t="s">
        <v>175</v>
      </c>
      <c r="I55" s="116">
        <f>INT(tblTransactions[[#This Row],[TransactionDate]])</f>
        <v>46245</v>
      </c>
      <c r="J55" t="str">
        <f>IF(tblTransactions[[#This Row],[ApprovalID]]="", "R2 - Missing Approval Reference", "")</f>
        <v/>
      </c>
      <c r="K55" t="str">
        <f>IF(AND(tblTransactions[[#This Row],[ApprovalID]]&lt;&gt;"",COUNTIFS(tblApprovals[TransactionID],tblTransactions[[#This Row],[TransactionID]],tblApprovals[ApprovalID],tblTransactions[[#This Row],[ApprovalID]])=0),"R3 - Missing or Mismatched Approval Record", "")</f>
        <v/>
      </c>
      <c r="L5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5" t="str">
        <f>IF(AND(tblTransactions[[#This Row],[TransactionStatus]]="Success",COUNTIF(tblSettlement[TransactionID],tblTransactions[[#This Row],[TransactionID]])=0)," R5 - Successful Transaction Not Settled", "")</f>
        <v/>
      </c>
      <c r="N55" t="str">
        <f>IF(AND(COUNTIF(tblSettlement[TransactionID],tblTransactions[[#This Row],[TransactionID]])&gt;0,tblTransactions[[#This Row],[Amount]]&lt;&gt;SUMIF(tblSettlement[TransactionID],tblTransactions[[#This Row],[TransactionID]],tblSettlement[SettledAmount]))," R6 - Settlement Amount Mismatch", "")</f>
        <v/>
      </c>
      <c r="O55" t="str">
        <f>IF(AND(tblTransactions[[#This Row],[CustomerRef]] &lt;&gt;"",COUNTIFS(tblTransactions[CustomerRef],tblTransactions[[#This Row],[CustomerRef]],tblTransactions[Amount],tblTransactions[[#This Row],[Amount]],tblTransactions[Date],tblTransactions[[#This Row],[Date]])&gt;1),"Yes","No")</f>
        <v>No</v>
      </c>
    </row>
    <row r="56" spans="1:15" x14ac:dyDescent="0.3">
      <c r="A56" t="s">
        <v>176</v>
      </c>
      <c r="B56" s="2">
        <v>46282.72152777778</v>
      </c>
      <c r="C56" t="s">
        <v>24</v>
      </c>
      <c r="D56" t="s">
        <v>20</v>
      </c>
      <c r="E56" s="6">
        <v>30604.12</v>
      </c>
      <c r="F56" t="s">
        <v>11</v>
      </c>
      <c r="G56" t="s">
        <v>177</v>
      </c>
      <c r="H56" t="s">
        <v>178</v>
      </c>
      <c r="I56" s="116">
        <f>INT(tblTransactions[[#This Row],[TransactionDate]])</f>
        <v>46282</v>
      </c>
      <c r="J56" t="str">
        <f>IF(tblTransactions[[#This Row],[ApprovalID]]="", "R2 - Missing Approval Reference", "")</f>
        <v/>
      </c>
      <c r="K56" t="str">
        <f>IF(AND(tblTransactions[[#This Row],[ApprovalID]]&lt;&gt;"",COUNTIFS(tblApprovals[TransactionID],tblTransactions[[#This Row],[TransactionID]],tblApprovals[ApprovalID],tblTransactions[[#This Row],[ApprovalID]])=0),"R3 - Missing or Mismatched Approval Record", "")</f>
        <v/>
      </c>
      <c r="L5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6" t="str">
        <f>IF(AND(tblTransactions[[#This Row],[TransactionStatus]]="Success",COUNTIF(tblSettlement[TransactionID],tblTransactions[[#This Row],[TransactionID]])=0)," R5 - Successful Transaction Not Settled", "")</f>
        <v/>
      </c>
      <c r="N56" t="str">
        <f>IF(AND(COUNTIF(tblSettlement[TransactionID],tblTransactions[[#This Row],[TransactionID]])&gt;0,tblTransactions[[#This Row],[Amount]]&lt;&gt;SUMIF(tblSettlement[TransactionID],tblTransactions[[#This Row],[TransactionID]],tblSettlement[SettledAmount]))," R6 - Settlement Amount Mismatch", "")</f>
        <v/>
      </c>
      <c r="O56" t="str">
        <f>IF(AND(tblTransactions[[#This Row],[CustomerRef]] &lt;&gt;"",COUNTIFS(tblTransactions[CustomerRef],tblTransactions[[#This Row],[CustomerRef]],tblTransactions[Amount],tblTransactions[[#This Row],[Amount]],tblTransactions[Date],tblTransactions[[#This Row],[Date]])&gt;1),"Yes","No")</f>
        <v>No</v>
      </c>
    </row>
    <row r="57" spans="1:15" x14ac:dyDescent="0.3">
      <c r="A57" t="s">
        <v>179</v>
      </c>
      <c r="B57" s="2">
        <v>46263.644444444442</v>
      </c>
      <c r="C57" t="s">
        <v>28</v>
      </c>
      <c r="D57" t="s">
        <v>69</v>
      </c>
      <c r="E57" s="6">
        <v>50753.14</v>
      </c>
      <c r="F57" t="s">
        <v>11</v>
      </c>
      <c r="G57" t="s">
        <v>180</v>
      </c>
      <c r="H57" t="s">
        <v>181</v>
      </c>
      <c r="I57" s="116">
        <f>INT(tblTransactions[[#This Row],[TransactionDate]])</f>
        <v>46263</v>
      </c>
      <c r="J57" t="str">
        <f>IF(tblTransactions[[#This Row],[ApprovalID]]="", "R2 - Missing Approval Reference", "")</f>
        <v/>
      </c>
      <c r="K57" t="str">
        <f>IF(AND(tblTransactions[[#This Row],[ApprovalID]]&lt;&gt;"",COUNTIFS(tblApprovals[TransactionID],tblTransactions[[#This Row],[TransactionID]],tblApprovals[ApprovalID],tblTransactions[[#This Row],[ApprovalID]])=0),"R3 - Missing or Mismatched Approval Record", "")</f>
        <v/>
      </c>
      <c r="L5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7" t="str">
        <f>IF(AND(tblTransactions[[#This Row],[TransactionStatus]]="Success",COUNTIF(tblSettlement[TransactionID],tblTransactions[[#This Row],[TransactionID]])=0)," R5 - Successful Transaction Not Settled", "")</f>
        <v/>
      </c>
      <c r="N57" t="str">
        <f>IF(AND(COUNTIF(tblSettlement[TransactionID],tblTransactions[[#This Row],[TransactionID]])&gt;0,tblTransactions[[#This Row],[Amount]]&lt;&gt;SUMIF(tblSettlement[TransactionID],tblTransactions[[#This Row],[TransactionID]],tblSettlement[SettledAmount]))," R6 - Settlement Amount Mismatch", "")</f>
        <v/>
      </c>
      <c r="O57" t="str">
        <f>IF(AND(tblTransactions[[#This Row],[CustomerRef]] &lt;&gt;"",COUNTIFS(tblTransactions[CustomerRef],tblTransactions[[#This Row],[CustomerRef]],tblTransactions[Amount],tblTransactions[[#This Row],[Amount]],tblTransactions[Date],tblTransactions[[#This Row],[Date]])&gt;1),"Yes","No")</f>
        <v>No</v>
      </c>
    </row>
    <row r="58" spans="1:15" x14ac:dyDescent="0.3">
      <c r="A58" t="s">
        <v>182</v>
      </c>
      <c r="B58" s="2">
        <v>46269.777777777781</v>
      </c>
      <c r="C58" t="s">
        <v>9</v>
      </c>
      <c r="D58" t="s">
        <v>20</v>
      </c>
      <c r="E58" s="6">
        <v>46539.75</v>
      </c>
      <c r="F58" t="s">
        <v>11</v>
      </c>
      <c r="G58" t="s">
        <v>183</v>
      </c>
      <c r="H58" t="s">
        <v>184</v>
      </c>
      <c r="I58" s="116">
        <f>INT(tblTransactions[[#This Row],[TransactionDate]])</f>
        <v>46269</v>
      </c>
      <c r="J58" t="str">
        <f>IF(tblTransactions[[#This Row],[ApprovalID]]="", "R2 - Missing Approval Reference", "")</f>
        <v/>
      </c>
      <c r="K58" t="str">
        <f>IF(AND(tblTransactions[[#This Row],[ApprovalID]]&lt;&gt;"",COUNTIFS(tblApprovals[TransactionID],tblTransactions[[#This Row],[TransactionID]],tblApprovals[ApprovalID],tblTransactions[[#This Row],[ApprovalID]])=0),"R3 - Missing or Mismatched Approval Record", "")</f>
        <v/>
      </c>
      <c r="L5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8" t="str">
        <f>IF(AND(tblTransactions[[#This Row],[TransactionStatus]]="Success",COUNTIF(tblSettlement[TransactionID],tblTransactions[[#This Row],[TransactionID]])=0)," R5 - Successful Transaction Not Settled", "")</f>
        <v/>
      </c>
      <c r="N58" t="str">
        <f>IF(AND(COUNTIF(tblSettlement[TransactionID],tblTransactions[[#This Row],[TransactionID]])&gt;0,tblTransactions[[#This Row],[Amount]]&lt;&gt;SUMIF(tblSettlement[TransactionID],tblTransactions[[#This Row],[TransactionID]],tblSettlement[SettledAmount]))," R6 - Settlement Amount Mismatch", "")</f>
        <v/>
      </c>
      <c r="O58" t="str">
        <f>IF(AND(tblTransactions[[#This Row],[CustomerRef]] &lt;&gt;"",COUNTIFS(tblTransactions[CustomerRef],tblTransactions[[#This Row],[CustomerRef]],tblTransactions[Amount],tblTransactions[[#This Row],[Amount]],tblTransactions[Date],tblTransactions[[#This Row],[Date]])&gt;1),"Yes","No")</f>
        <v>No</v>
      </c>
    </row>
    <row r="59" spans="1:15" x14ac:dyDescent="0.3">
      <c r="A59" t="s">
        <v>185</v>
      </c>
      <c r="B59" s="2">
        <v>46222.334722222222</v>
      </c>
      <c r="C59" t="s">
        <v>47</v>
      </c>
      <c r="D59" t="s">
        <v>29</v>
      </c>
      <c r="E59" s="6">
        <v>18551.98</v>
      </c>
      <c r="F59" t="s">
        <v>11</v>
      </c>
      <c r="G59" t="s">
        <v>186</v>
      </c>
      <c r="H59" t="s">
        <v>187</v>
      </c>
      <c r="I59" s="116">
        <f>INT(tblTransactions[[#This Row],[TransactionDate]])</f>
        <v>46222</v>
      </c>
      <c r="J59" t="str">
        <f>IF(tblTransactions[[#This Row],[ApprovalID]]="", "R2 - Missing Approval Reference", "")</f>
        <v/>
      </c>
      <c r="K59" t="str">
        <f>IF(AND(tblTransactions[[#This Row],[ApprovalID]]&lt;&gt;"",COUNTIFS(tblApprovals[TransactionID],tblTransactions[[#This Row],[TransactionID]],tblApprovals[ApprovalID],tblTransactions[[#This Row],[ApprovalID]])=0),"R3 - Missing or Mismatched Approval Record", "")</f>
        <v/>
      </c>
      <c r="L5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9" t="str">
        <f>IF(AND(tblTransactions[[#This Row],[TransactionStatus]]="Success",COUNTIF(tblSettlement[TransactionID],tblTransactions[[#This Row],[TransactionID]])=0)," R5 - Successful Transaction Not Settled", "")</f>
        <v/>
      </c>
      <c r="N59"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59" t="str">
        <f>IF(AND(tblTransactions[[#This Row],[CustomerRef]] &lt;&gt;"",COUNTIFS(tblTransactions[CustomerRef],tblTransactions[[#This Row],[CustomerRef]],tblTransactions[Amount],tblTransactions[[#This Row],[Amount]],tblTransactions[Date],tblTransactions[[#This Row],[Date]])&gt;1),"Yes","No")</f>
        <v>No</v>
      </c>
    </row>
    <row r="60" spans="1:15" x14ac:dyDescent="0.3">
      <c r="A60" t="s">
        <v>188</v>
      </c>
      <c r="B60" s="2">
        <v>46295.808333333334</v>
      </c>
      <c r="C60" t="s">
        <v>28</v>
      </c>
      <c r="D60" t="s">
        <v>10</v>
      </c>
      <c r="E60" s="6">
        <v>37204.69</v>
      </c>
      <c r="F60" t="s">
        <v>11</v>
      </c>
      <c r="G60" t="s">
        <v>189</v>
      </c>
      <c r="H60" t="s">
        <v>190</v>
      </c>
      <c r="I60" s="116">
        <f>INT(tblTransactions[[#This Row],[TransactionDate]])</f>
        <v>46295</v>
      </c>
      <c r="J60" t="str">
        <f>IF(tblTransactions[[#This Row],[ApprovalID]]="", "R2 - Missing Approval Reference", "")</f>
        <v/>
      </c>
      <c r="K60" t="str">
        <f>IF(AND(tblTransactions[[#This Row],[ApprovalID]]&lt;&gt;"",COUNTIFS(tblApprovals[TransactionID],tblTransactions[[#This Row],[TransactionID]],tblApprovals[ApprovalID],tblTransactions[[#This Row],[ApprovalID]])=0),"R3 - Missing or Mismatched Approval Record", "")</f>
        <v/>
      </c>
      <c r="L6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0" t="str">
        <f>IF(AND(tblTransactions[[#This Row],[TransactionStatus]]="Success",COUNTIF(tblSettlement[TransactionID],tblTransactions[[#This Row],[TransactionID]])=0)," R5 - Successful Transaction Not Settled", "")</f>
        <v/>
      </c>
      <c r="N60" t="str">
        <f>IF(AND(COUNTIF(tblSettlement[TransactionID],tblTransactions[[#This Row],[TransactionID]])&gt;0,tblTransactions[[#This Row],[Amount]]&lt;&gt;SUMIF(tblSettlement[TransactionID],tblTransactions[[#This Row],[TransactionID]],tblSettlement[SettledAmount]))," R6 - Settlement Amount Mismatch", "")</f>
        <v/>
      </c>
      <c r="O60" t="str">
        <f>IF(AND(tblTransactions[[#This Row],[CustomerRef]] &lt;&gt;"",COUNTIFS(tblTransactions[CustomerRef],tblTransactions[[#This Row],[CustomerRef]],tblTransactions[Amount],tblTransactions[[#This Row],[Amount]],tblTransactions[Date],tblTransactions[[#This Row],[Date]])&gt;1),"Yes","No")</f>
        <v>No</v>
      </c>
    </row>
    <row r="61" spans="1:15" x14ac:dyDescent="0.3">
      <c r="A61" t="s">
        <v>191</v>
      </c>
      <c r="B61" s="2">
        <v>46258.46597222222</v>
      </c>
      <c r="C61" t="s">
        <v>43</v>
      </c>
      <c r="D61" t="s">
        <v>10</v>
      </c>
      <c r="E61" s="6">
        <v>60357.21</v>
      </c>
      <c r="F61" t="s">
        <v>11</v>
      </c>
      <c r="G61" t="s">
        <v>192</v>
      </c>
      <c r="H61" t="s">
        <v>193</v>
      </c>
      <c r="I61" s="116">
        <f>INT(tblTransactions[[#This Row],[TransactionDate]])</f>
        <v>46258</v>
      </c>
      <c r="J61" t="str">
        <f>IF(tblTransactions[[#This Row],[ApprovalID]]="", "R2 - Missing Approval Reference", "")</f>
        <v/>
      </c>
      <c r="K61" t="str">
        <f>IF(AND(tblTransactions[[#This Row],[ApprovalID]]&lt;&gt;"",COUNTIFS(tblApprovals[TransactionID],tblTransactions[[#This Row],[TransactionID]],tblApprovals[ApprovalID],tblTransactions[[#This Row],[ApprovalID]])=0),"R3 - Missing or Mismatched Approval Record", "")</f>
        <v/>
      </c>
      <c r="L6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1" t="str">
        <f>IF(AND(tblTransactions[[#This Row],[TransactionStatus]]="Success",COUNTIF(tblSettlement[TransactionID],tblTransactions[[#This Row],[TransactionID]])=0)," R5 - Successful Transaction Not Settled", "")</f>
        <v/>
      </c>
      <c r="N61" t="str">
        <f>IF(AND(COUNTIF(tblSettlement[TransactionID],tblTransactions[[#This Row],[TransactionID]])&gt;0,tblTransactions[[#This Row],[Amount]]&lt;&gt;SUMIF(tblSettlement[TransactionID],tblTransactions[[#This Row],[TransactionID]],tblSettlement[SettledAmount]))," R6 - Settlement Amount Mismatch", "")</f>
        <v/>
      </c>
      <c r="O61" t="str">
        <f>IF(AND(tblTransactions[[#This Row],[CustomerRef]] &lt;&gt;"",COUNTIFS(tblTransactions[CustomerRef],tblTransactions[[#This Row],[CustomerRef]],tblTransactions[Amount],tblTransactions[[#This Row],[Amount]],tblTransactions[Date],tblTransactions[[#This Row],[Date]])&gt;1),"Yes","No")</f>
        <v>No</v>
      </c>
    </row>
    <row r="62" spans="1:15" x14ac:dyDescent="0.3">
      <c r="A62" t="s">
        <v>194</v>
      </c>
      <c r="B62" s="2">
        <v>46262.45208333333</v>
      </c>
      <c r="C62" t="s">
        <v>19</v>
      </c>
      <c r="D62" t="s">
        <v>15</v>
      </c>
      <c r="E62" s="6">
        <v>34982.080000000002</v>
      </c>
      <c r="F62" t="s">
        <v>11</v>
      </c>
      <c r="G62" t="s">
        <v>195</v>
      </c>
      <c r="H62" t="s">
        <v>196</v>
      </c>
      <c r="I62" s="116">
        <f>INT(tblTransactions[[#This Row],[TransactionDate]])</f>
        <v>46262</v>
      </c>
      <c r="J62" t="str">
        <f>IF(tblTransactions[[#This Row],[ApprovalID]]="", "R2 - Missing Approval Reference", "")</f>
        <v/>
      </c>
      <c r="K62" t="str">
        <f>IF(AND(tblTransactions[[#This Row],[ApprovalID]]&lt;&gt;"",COUNTIFS(tblApprovals[TransactionID],tblTransactions[[#This Row],[TransactionID]],tblApprovals[ApprovalID],tblTransactions[[#This Row],[ApprovalID]])=0),"R3 - Missing or Mismatched Approval Record", "")</f>
        <v/>
      </c>
      <c r="L6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2" t="str">
        <f>IF(AND(tblTransactions[[#This Row],[TransactionStatus]]="Success",COUNTIF(tblSettlement[TransactionID],tblTransactions[[#This Row],[TransactionID]])=0)," R5 - Successful Transaction Not Settled", "")</f>
        <v/>
      </c>
      <c r="N62" t="str">
        <f>IF(AND(COUNTIF(tblSettlement[TransactionID],tblTransactions[[#This Row],[TransactionID]])&gt;0,tblTransactions[[#This Row],[Amount]]&lt;&gt;SUMIF(tblSettlement[TransactionID],tblTransactions[[#This Row],[TransactionID]],tblSettlement[SettledAmount]))," R6 - Settlement Amount Mismatch", "")</f>
        <v/>
      </c>
      <c r="O62" t="str">
        <f>IF(AND(tblTransactions[[#This Row],[CustomerRef]] &lt;&gt;"",COUNTIFS(tblTransactions[CustomerRef],tblTransactions[[#This Row],[CustomerRef]],tblTransactions[Amount],tblTransactions[[#This Row],[Amount]],tblTransactions[Date],tblTransactions[[#This Row],[Date]])&gt;1),"Yes","No")</f>
        <v>No</v>
      </c>
    </row>
    <row r="63" spans="1:15" x14ac:dyDescent="0.3">
      <c r="A63" t="s">
        <v>197</v>
      </c>
      <c r="B63" s="2">
        <v>46282.906944444447</v>
      </c>
      <c r="C63" t="s">
        <v>19</v>
      </c>
      <c r="D63" t="s">
        <v>29</v>
      </c>
      <c r="E63" s="6">
        <v>66928.52</v>
      </c>
      <c r="F63" t="s">
        <v>11</v>
      </c>
      <c r="G63" t="s">
        <v>198</v>
      </c>
      <c r="H63" t="s">
        <v>199</v>
      </c>
      <c r="I63" s="116">
        <f>INT(tblTransactions[[#This Row],[TransactionDate]])</f>
        <v>46282</v>
      </c>
      <c r="J63" t="str">
        <f>IF(tblTransactions[[#This Row],[ApprovalID]]="", "R2 - Missing Approval Reference", "")</f>
        <v/>
      </c>
      <c r="K63" t="str">
        <f>IF(AND(tblTransactions[[#This Row],[ApprovalID]]&lt;&gt;"",COUNTIFS(tblApprovals[TransactionID],tblTransactions[[#This Row],[TransactionID]],tblApprovals[ApprovalID],tblTransactions[[#This Row],[ApprovalID]])=0),"R3 - Missing or Mismatched Approval Record", "")</f>
        <v/>
      </c>
      <c r="L6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3" t="str">
        <f>IF(AND(tblTransactions[[#This Row],[TransactionStatus]]="Success",COUNTIF(tblSettlement[TransactionID],tblTransactions[[#This Row],[TransactionID]])=0)," R5 - Successful Transaction Not Settled", "")</f>
        <v/>
      </c>
      <c r="N63" t="str">
        <f>IF(AND(COUNTIF(tblSettlement[TransactionID],tblTransactions[[#This Row],[TransactionID]])&gt;0,tblTransactions[[#This Row],[Amount]]&lt;&gt;SUMIF(tblSettlement[TransactionID],tblTransactions[[#This Row],[TransactionID]],tblSettlement[SettledAmount]))," R6 - Settlement Amount Mismatch", "")</f>
        <v/>
      </c>
      <c r="O63" t="str">
        <f>IF(AND(tblTransactions[[#This Row],[CustomerRef]] &lt;&gt;"",COUNTIFS(tblTransactions[CustomerRef],tblTransactions[[#This Row],[CustomerRef]],tblTransactions[Amount],tblTransactions[[#This Row],[Amount]],tblTransactions[Date],tblTransactions[[#This Row],[Date]])&gt;1),"Yes","No")</f>
        <v>No</v>
      </c>
    </row>
    <row r="64" spans="1:15" x14ac:dyDescent="0.3">
      <c r="A64" t="s">
        <v>200</v>
      </c>
      <c r="B64" s="2">
        <v>46261.533333333333</v>
      </c>
      <c r="C64" t="s">
        <v>19</v>
      </c>
      <c r="D64" t="s">
        <v>29</v>
      </c>
      <c r="E64" s="6">
        <v>18731.169999999998</v>
      </c>
      <c r="F64" t="s">
        <v>11</v>
      </c>
      <c r="G64" t="s">
        <v>201</v>
      </c>
      <c r="H64" t="s">
        <v>202</v>
      </c>
      <c r="I64" s="116">
        <f>INT(tblTransactions[[#This Row],[TransactionDate]])</f>
        <v>46261</v>
      </c>
      <c r="J64" t="str">
        <f>IF(tblTransactions[[#This Row],[ApprovalID]]="", "R2 - Missing Approval Reference", "")</f>
        <v/>
      </c>
      <c r="K64" t="str">
        <f>IF(AND(tblTransactions[[#This Row],[ApprovalID]]&lt;&gt;"",COUNTIFS(tblApprovals[TransactionID],tblTransactions[[#This Row],[TransactionID]],tblApprovals[ApprovalID],tblTransactions[[#This Row],[ApprovalID]])=0),"R3 - Missing or Mismatched Approval Record", "")</f>
        <v/>
      </c>
      <c r="L6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4" t="str">
        <f>IF(AND(tblTransactions[[#This Row],[TransactionStatus]]="Success",COUNTIF(tblSettlement[TransactionID],tblTransactions[[#This Row],[TransactionID]])=0)," R5 - Successful Transaction Not Settled", "")</f>
        <v/>
      </c>
      <c r="N64" t="str">
        <f>IF(AND(COUNTIF(tblSettlement[TransactionID],tblTransactions[[#This Row],[TransactionID]])&gt;0,tblTransactions[[#This Row],[Amount]]&lt;&gt;SUMIF(tblSettlement[TransactionID],tblTransactions[[#This Row],[TransactionID]],tblSettlement[SettledAmount]))," R6 - Settlement Amount Mismatch", "")</f>
        <v/>
      </c>
      <c r="O64" t="str">
        <f>IF(AND(tblTransactions[[#This Row],[CustomerRef]] &lt;&gt;"",COUNTIFS(tblTransactions[CustomerRef],tblTransactions[[#This Row],[CustomerRef]],tblTransactions[Amount],tblTransactions[[#This Row],[Amount]],tblTransactions[Date],tblTransactions[[#This Row],[Date]])&gt;1),"Yes","No")</f>
        <v>No</v>
      </c>
    </row>
    <row r="65" spans="1:15" x14ac:dyDescent="0.3">
      <c r="A65" t="s">
        <v>203</v>
      </c>
      <c r="B65" s="2">
        <v>46260.40625</v>
      </c>
      <c r="C65" t="s">
        <v>24</v>
      </c>
      <c r="D65" t="s">
        <v>15</v>
      </c>
      <c r="E65" s="6">
        <v>21608.18</v>
      </c>
      <c r="F65" t="s">
        <v>11</v>
      </c>
      <c r="G65" t="s">
        <v>204</v>
      </c>
      <c r="H65" t="s">
        <v>205</v>
      </c>
      <c r="I65" s="116">
        <f>INT(tblTransactions[[#This Row],[TransactionDate]])</f>
        <v>46260</v>
      </c>
      <c r="J65" t="str">
        <f>IF(tblTransactions[[#This Row],[ApprovalID]]="", "R2 - Missing Approval Reference", "")</f>
        <v/>
      </c>
      <c r="K65" t="str">
        <f>IF(AND(tblTransactions[[#This Row],[ApprovalID]]&lt;&gt;"",COUNTIFS(tblApprovals[TransactionID],tblTransactions[[#This Row],[TransactionID]],tblApprovals[ApprovalID],tblTransactions[[#This Row],[ApprovalID]])=0),"R3 - Missing or Mismatched Approval Record", "")</f>
        <v/>
      </c>
      <c r="L6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5" t="str">
        <f>IF(AND(tblTransactions[[#This Row],[TransactionStatus]]="Success",COUNTIF(tblSettlement[TransactionID],tblTransactions[[#This Row],[TransactionID]])=0)," R5 - Successful Transaction Not Settled", "")</f>
        <v/>
      </c>
      <c r="N65" t="str">
        <f>IF(AND(COUNTIF(tblSettlement[TransactionID],tblTransactions[[#This Row],[TransactionID]])&gt;0,tblTransactions[[#This Row],[Amount]]&lt;&gt;SUMIF(tblSettlement[TransactionID],tblTransactions[[#This Row],[TransactionID]],tblSettlement[SettledAmount]))," R6 - Settlement Amount Mismatch", "")</f>
        <v/>
      </c>
      <c r="O65" t="str">
        <f>IF(AND(tblTransactions[[#This Row],[CustomerRef]] &lt;&gt;"",COUNTIFS(tblTransactions[CustomerRef],tblTransactions[[#This Row],[CustomerRef]],tblTransactions[Amount],tblTransactions[[#This Row],[Amount]],tblTransactions[Date],tblTransactions[[#This Row],[Date]])&gt;1),"Yes","No")</f>
        <v>No</v>
      </c>
    </row>
    <row r="66" spans="1:15" x14ac:dyDescent="0.3">
      <c r="A66" t="s">
        <v>206</v>
      </c>
      <c r="B66" s="2">
        <v>46233.613888888889</v>
      </c>
      <c r="C66" t="s">
        <v>43</v>
      </c>
      <c r="D66" t="s">
        <v>29</v>
      </c>
      <c r="E66" s="6">
        <v>11672.19</v>
      </c>
      <c r="F66" t="s">
        <v>11</v>
      </c>
      <c r="G66" t="s">
        <v>207</v>
      </c>
      <c r="H66" t="s">
        <v>208</v>
      </c>
      <c r="I66" s="116">
        <f>INT(tblTransactions[[#This Row],[TransactionDate]])</f>
        <v>46233</v>
      </c>
      <c r="J66" t="str">
        <f>IF(tblTransactions[[#This Row],[ApprovalID]]="", "R2 - Missing Approval Reference", "")</f>
        <v/>
      </c>
      <c r="K66" t="str">
        <f>IF(AND(tblTransactions[[#This Row],[ApprovalID]]&lt;&gt;"",COUNTIFS(tblApprovals[TransactionID],tblTransactions[[#This Row],[TransactionID]],tblApprovals[ApprovalID],tblTransactions[[#This Row],[ApprovalID]])=0),"R3 - Missing or Mismatched Approval Record", "")</f>
        <v/>
      </c>
      <c r="L6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6" t="str">
        <f>IF(AND(tblTransactions[[#This Row],[TransactionStatus]]="Success",COUNTIF(tblSettlement[TransactionID],tblTransactions[[#This Row],[TransactionID]])=0)," R5 - Successful Transaction Not Settled", "")</f>
        <v/>
      </c>
      <c r="N66" t="str">
        <f>IF(AND(COUNTIF(tblSettlement[TransactionID],tblTransactions[[#This Row],[TransactionID]])&gt;0,tblTransactions[[#This Row],[Amount]]&lt;&gt;SUMIF(tblSettlement[TransactionID],tblTransactions[[#This Row],[TransactionID]],tblSettlement[SettledAmount]))," R6 - Settlement Amount Mismatch", "")</f>
        <v/>
      </c>
      <c r="O66" t="str">
        <f>IF(AND(tblTransactions[[#This Row],[CustomerRef]] &lt;&gt;"",COUNTIFS(tblTransactions[CustomerRef],tblTransactions[[#This Row],[CustomerRef]],tblTransactions[Amount],tblTransactions[[#This Row],[Amount]],tblTransactions[Date],tblTransactions[[#This Row],[Date]])&gt;1),"Yes","No")</f>
        <v>No</v>
      </c>
    </row>
    <row r="67" spans="1:15" x14ac:dyDescent="0.3">
      <c r="A67" t="s">
        <v>209</v>
      </c>
      <c r="B67" s="2">
        <v>46257.342361111114</v>
      </c>
      <c r="C67" t="s">
        <v>19</v>
      </c>
      <c r="D67" t="s">
        <v>10</v>
      </c>
      <c r="E67" s="6">
        <v>62508.61</v>
      </c>
      <c r="F67" t="s">
        <v>11</v>
      </c>
      <c r="G67" t="s">
        <v>210</v>
      </c>
      <c r="H67" t="s">
        <v>211</v>
      </c>
      <c r="I67" s="116">
        <f>INT(tblTransactions[[#This Row],[TransactionDate]])</f>
        <v>46257</v>
      </c>
      <c r="J67" t="str">
        <f>IF(tblTransactions[[#This Row],[ApprovalID]]="", "R2 - Missing Approval Reference", "")</f>
        <v/>
      </c>
      <c r="K67" t="str">
        <f>IF(AND(tblTransactions[[#This Row],[ApprovalID]]&lt;&gt;"",COUNTIFS(tblApprovals[TransactionID],tblTransactions[[#This Row],[TransactionID]],tblApprovals[ApprovalID],tblTransactions[[#This Row],[ApprovalID]])=0),"R3 - Missing or Mismatched Approval Record", "")</f>
        <v/>
      </c>
      <c r="L6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7" t="str">
        <f>IF(AND(tblTransactions[[#This Row],[TransactionStatus]]="Success",COUNTIF(tblSettlement[TransactionID],tblTransactions[[#This Row],[TransactionID]])=0)," R5 - Successful Transaction Not Settled", "")</f>
        <v/>
      </c>
      <c r="N67" t="str">
        <f>IF(AND(COUNTIF(tblSettlement[TransactionID],tblTransactions[[#This Row],[TransactionID]])&gt;0,tblTransactions[[#This Row],[Amount]]&lt;&gt;SUMIF(tblSettlement[TransactionID],tblTransactions[[#This Row],[TransactionID]],tblSettlement[SettledAmount]))," R6 - Settlement Amount Mismatch", "")</f>
        <v/>
      </c>
      <c r="O67" t="str">
        <f>IF(AND(tblTransactions[[#This Row],[CustomerRef]] &lt;&gt;"",COUNTIFS(tblTransactions[CustomerRef],tblTransactions[[#This Row],[CustomerRef]],tblTransactions[Amount],tblTransactions[[#This Row],[Amount]],tblTransactions[Date],tblTransactions[[#This Row],[Date]])&gt;1),"Yes","No")</f>
        <v>No</v>
      </c>
    </row>
    <row r="68" spans="1:15" x14ac:dyDescent="0.3">
      <c r="A68" t="s">
        <v>212</v>
      </c>
      <c r="B68" s="2">
        <v>46265.348611111112</v>
      </c>
      <c r="C68" t="s">
        <v>43</v>
      </c>
      <c r="D68" t="s">
        <v>15</v>
      </c>
      <c r="E68" s="6">
        <v>22571.3</v>
      </c>
      <c r="F68" t="s">
        <v>11</v>
      </c>
      <c r="G68" t="s">
        <v>213</v>
      </c>
      <c r="H68" t="s">
        <v>214</v>
      </c>
      <c r="I68" s="116">
        <f>INT(tblTransactions[[#This Row],[TransactionDate]])</f>
        <v>46265</v>
      </c>
      <c r="J68" t="str">
        <f>IF(tblTransactions[[#This Row],[ApprovalID]]="", "R2 - Missing Approval Reference", "")</f>
        <v/>
      </c>
      <c r="K68" t="str">
        <f>IF(AND(tblTransactions[[#This Row],[ApprovalID]]&lt;&gt;"",COUNTIFS(tblApprovals[TransactionID],tblTransactions[[#This Row],[TransactionID]],tblApprovals[ApprovalID],tblTransactions[[#This Row],[ApprovalID]])=0),"R3 - Missing or Mismatched Approval Record", "")</f>
        <v/>
      </c>
      <c r="L6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8" t="str">
        <f>IF(AND(tblTransactions[[#This Row],[TransactionStatus]]="Success",COUNTIF(tblSettlement[TransactionID],tblTransactions[[#This Row],[TransactionID]])=0)," R5 - Successful Transaction Not Settled", "")</f>
        <v/>
      </c>
      <c r="N68" t="str">
        <f>IF(AND(COUNTIF(tblSettlement[TransactionID],tblTransactions[[#This Row],[TransactionID]])&gt;0,tblTransactions[[#This Row],[Amount]]&lt;&gt;SUMIF(tblSettlement[TransactionID],tblTransactions[[#This Row],[TransactionID]],tblSettlement[SettledAmount]))," R6 - Settlement Amount Mismatch", "")</f>
        <v/>
      </c>
      <c r="O68" t="str">
        <f>IF(AND(tblTransactions[[#This Row],[CustomerRef]] &lt;&gt;"",COUNTIFS(tblTransactions[CustomerRef],tblTransactions[[#This Row],[CustomerRef]],tblTransactions[Amount],tblTransactions[[#This Row],[Amount]],tblTransactions[Date],tblTransactions[[#This Row],[Date]])&gt;1),"Yes","No")</f>
        <v>No</v>
      </c>
    </row>
    <row r="69" spans="1:15" x14ac:dyDescent="0.3">
      <c r="A69" t="s">
        <v>215</v>
      </c>
      <c r="B69" s="2">
        <v>46281.926388888889</v>
      </c>
      <c r="C69" t="s">
        <v>43</v>
      </c>
      <c r="D69" t="s">
        <v>10</v>
      </c>
      <c r="E69" s="6">
        <v>36745.15</v>
      </c>
      <c r="F69" t="s">
        <v>11</v>
      </c>
      <c r="G69" t="s">
        <v>216</v>
      </c>
      <c r="H69" t="s">
        <v>217</v>
      </c>
      <c r="I69" s="116">
        <f>INT(tblTransactions[[#This Row],[TransactionDate]])</f>
        <v>46281</v>
      </c>
      <c r="J69" t="str">
        <f>IF(tblTransactions[[#This Row],[ApprovalID]]="", "R2 - Missing Approval Reference", "")</f>
        <v/>
      </c>
      <c r="K69" t="str">
        <f>IF(AND(tblTransactions[[#This Row],[ApprovalID]]&lt;&gt;"",COUNTIFS(tblApprovals[TransactionID],tblTransactions[[#This Row],[TransactionID]],tblApprovals[ApprovalID],tblTransactions[[#This Row],[ApprovalID]])=0),"R3 - Missing or Mismatched Approval Record", "")</f>
        <v/>
      </c>
      <c r="L6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69" t="str">
        <f>IF(AND(tblTransactions[[#This Row],[TransactionStatus]]="Success",COUNTIF(tblSettlement[TransactionID],tblTransactions[[#This Row],[TransactionID]])=0)," R5 - Successful Transaction Not Settled", "")</f>
        <v/>
      </c>
      <c r="N69" t="str">
        <f>IF(AND(COUNTIF(tblSettlement[TransactionID],tblTransactions[[#This Row],[TransactionID]])&gt;0,tblTransactions[[#This Row],[Amount]]&lt;&gt;SUMIF(tblSettlement[TransactionID],tblTransactions[[#This Row],[TransactionID]],tblSettlement[SettledAmount]))," R6 - Settlement Amount Mismatch", "")</f>
        <v/>
      </c>
      <c r="O69" t="str">
        <f>IF(AND(tblTransactions[[#This Row],[CustomerRef]] &lt;&gt;"",COUNTIFS(tblTransactions[CustomerRef],tblTransactions[[#This Row],[CustomerRef]],tblTransactions[Amount],tblTransactions[[#This Row],[Amount]],tblTransactions[Date],tblTransactions[[#This Row],[Date]])&gt;1),"Yes","No")</f>
        <v>No</v>
      </c>
    </row>
    <row r="70" spans="1:15" x14ac:dyDescent="0.3">
      <c r="A70" t="s">
        <v>218</v>
      </c>
      <c r="B70" s="2">
        <v>46225.895138888889</v>
      </c>
      <c r="C70" t="s">
        <v>19</v>
      </c>
      <c r="D70" t="s">
        <v>10</v>
      </c>
      <c r="E70" s="6">
        <v>68985.740000000005</v>
      </c>
      <c r="F70" t="s">
        <v>36</v>
      </c>
      <c r="G70" t="s">
        <v>219</v>
      </c>
      <c r="H70" t="s">
        <v>220</v>
      </c>
      <c r="I70" s="116">
        <f>INT(tblTransactions[[#This Row],[TransactionDate]])</f>
        <v>46225</v>
      </c>
      <c r="J70" t="str">
        <f>IF(tblTransactions[[#This Row],[ApprovalID]]="", "R2 - Missing Approval Reference", "")</f>
        <v/>
      </c>
      <c r="K70" t="str">
        <f>IF(AND(tblTransactions[[#This Row],[ApprovalID]]&lt;&gt;"",COUNTIFS(tblApprovals[TransactionID],tblTransactions[[#This Row],[TransactionID]],tblApprovals[ApprovalID],tblTransactions[[#This Row],[ApprovalID]])=0),"R3 - Missing or Mismatched Approval Record", "")</f>
        <v/>
      </c>
      <c r="L7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0" t="str">
        <f>IF(AND(tblTransactions[[#This Row],[TransactionStatus]]="Success",COUNTIF(tblSettlement[TransactionID],tblTransactions[[#This Row],[TransactionID]])=0)," R5 - Successful Transaction Not Settled", "")</f>
        <v/>
      </c>
      <c r="N70" t="str">
        <f>IF(AND(COUNTIF(tblSettlement[TransactionID],tblTransactions[[#This Row],[TransactionID]])&gt;0,tblTransactions[[#This Row],[Amount]]&lt;&gt;SUMIF(tblSettlement[TransactionID],tblTransactions[[#This Row],[TransactionID]],tblSettlement[SettledAmount]))," R6 - Settlement Amount Mismatch", "")</f>
        <v/>
      </c>
      <c r="O70" t="str">
        <f>IF(AND(tblTransactions[[#This Row],[CustomerRef]] &lt;&gt;"",COUNTIFS(tblTransactions[CustomerRef],tblTransactions[[#This Row],[CustomerRef]],tblTransactions[Amount],tblTransactions[[#This Row],[Amount]],tblTransactions[Date],tblTransactions[[#This Row],[Date]])&gt;1),"Yes","No")</f>
        <v>No</v>
      </c>
    </row>
    <row r="71" spans="1:15" x14ac:dyDescent="0.3">
      <c r="A71" t="s">
        <v>221</v>
      </c>
      <c r="B71" s="2">
        <v>46214.768750000003</v>
      </c>
      <c r="C71" t="s">
        <v>47</v>
      </c>
      <c r="D71" t="s">
        <v>20</v>
      </c>
      <c r="E71" s="6">
        <v>10393.540000000001</v>
      </c>
      <c r="F71" t="s">
        <v>11</v>
      </c>
      <c r="G71" t="s">
        <v>222</v>
      </c>
      <c r="H71" t="s">
        <v>223</v>
      </c>
      <c r="I71" s="116">
        <f>INT(tblTransactions[[#This Row],[TransactionDate]])</f>
        <v>46214</v>
      </c>
      <c r="J71" t="str">
        <f>IF(tblTransactions[[#This Row],[ApprovalID]]="", "R2 - Missing Approval Reference", "")</f>
        <v/>
      </c>
      <c r="K71" t="str">
        <f>IF(AND(tblTransactions[[#This Row],[ApprovalID]]&lt;&gt;"",COUNTIFS(tblApprovals[TransactionID],tblTransactions[[#This Row],[TransactionID]],tblApprovals[ApprovalID],tblTransactions[[#This Row],[ApprovalID]])=0),"R3 - Missing or Mismatched Approval Record", "")</f>
        <v/>
      </c>
      <c r="L7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1" t="str">
        <f>IF(AND(tblTransactions[[#This Row],[TransactionStatus]]="Success",COUNTIF(tblSettlement[TransactionID],tblTransactions[[#This Row],[TransactionID]])=0)," R5 - Successful Transaction Not Settled", "")</f>
        <v/>
      </c>
      <c r="N71" t="str">
        <f>IF(AND(COUNTIF(tblSettlement[TransactionID],tblTransactions[[#This Row],[TransactionID]])&gt;0,tblTransactions[[#This Row],[Amount]]&lt;&gt;SUMIF(tblSettlement[TransactionID],tblTransactions[[#This Row],[TransactionID]],tblSettlement[SettledAmount]))," R6 - Settlement Amount Mismatch", "")</f>
        <v/>
      </c>
      <c r="O71" t="str">
        <f>IF(AND(tblTransactions[[#This Row],[CustomerRef]] &lt;&gt;"",COUNTIFS(tblTransactions[CustomerRef],tblTransactions[[#This Row],[CustomerRef]],tblTransactions[Amount],tblTransactions[[#This Row],[Amount]],tblTransactions[Date],tblTransactions[[#This Row],[Date]])&gt;1),"Yes","No")</f>
        <v>No</v>
      </c>
    </row>
    <row r="72" spans="1:15" x14ac:dyDescent="0.3">
      <c r="A72" t="s">
        <v>224</v>
      </c>
      <c r="B72" s="2">
        <v>46262.556250000001</v>
      </c>
      <c r="C72" t="s">
        <v>43</v>
      </c>
      <c r="D72" t="s">
        <v>20</v>
      </c>
      <c r="E72" s="6">
        <v>57151.92</v>
      </c>
      <c r="F72" t="s">
        <v>11</v>
      </c>
      <c r="G72" t="s">
        <v>225</v>
      </c>
      <c r="H72" t="s">
        <v>226</v>
      </c>
      <c r="I72" s="116">
        <f>INT(tblTransactions[[#This Row],[TransactionDate]])</f>
        <v>46262</v>
      </c>
      <c r="J72" t="str">
        <f>IF(tblTransactions[[#This Row],[ApprovalID]]="", "R2 - Missing Approval Reference", "")</f>
        <v/>
      </c>
      <c r="K72" t="str">
        <f>IF(AND(tblTransactions[[#This Row],[ApprovalID]]&lt;&gt;"",COUNTIFS(tblApprovals[TransactionID],tblTransactions[[#This Row],[TransactionID]],tblApprovals[ApprovalID],tblTransactions[[#This Row],[ApprovalID]])=0),"R3 - Missing or Mismatched Approval Record", "")</f>
        <v/>
      </c>
      <c r="L7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2" t="str">
        <f>IF(AND(tblTransactions[[#This Row],[TransactionStatus]]="Success",COUNTIF(tblSettlement[TransactionID],tblTransactions[[#This Row],[TransactionID]])=0)," R5 - Successful Transaction Not Settled", "")</f>
        <v/>
      </c>
      <c r="N72" t="str">
        <f>IF(AND(COUNTIF(tblSettlement[TransactionID],tblTransactions[[#This Row],[TransactionID]])&gt;0,tblTransactions[[#This Row],[Amount]]&lt;&gt;SUMIF(tblSettlement[TransactionID],tblTransactions[[#This Row],[TransactionID]],tblSettlement[SettledAmount]))," R6 - Settlement Amount Mismatch", "")</f>
        <v/>
      </c>
      <c r="O72" t="str">
        <f>IF(AND(tblTransactions[[#This Row],[CustomerRef]] &lt;&gt;"",COUNTIFS(tblTransactions[CustomerRef],tblTransactions[[#This Row],[CustomerRef]],tblTransactions[Amount],tblTransactions[[#This Row],[Amount]],tblTransactions[Date],tblTransactions[[#This Row],[Date]])&gt;1),"Yes","No")</f>
        <v>No</v>
      </c>
    </row>
    <row r="73" spans="1:15" x14ac:dyDescent="0.3">
      <c r="A73" t="s">
        <v>227</v>
      </c>
      <c r="B73" s="2">
        <v>46206.81527777778</v>
      </c>
      <c r="C73" t="s">
        <v>9</v>
      </c>
      <c r="D73" t="s">
        <v>10</v>
      </c>
      <c r="E73" s="6">
        <v>4143.3999999999996</v>
      </c>
      <c r="F73" t="s">
        <v>111</v>
      </c>
      <c r="G73" t="s">
        <v>228</v>
      </c>
      <c r="H73" t="s">
        <v>229</v>
      </c>
      <c r="I73" s="116">
        <f>INT(tblTransactions[[#This Row],[TransactionDate]])</f>
        <v>46206</v>
      </c>
      <c r="J73" t="str">
        <f>IF(tblTransactions[[#This Row],[ApprovalID]]="", "R2 - Missing Approval Reference", "")</f>
        <v/>
      </c>
      <c r="K73" t="str">
        <f>IF(AND(tblTransactions[[#This Row],[ApprovalID]]&lt;&gt;"",COUNTIFS(tblApprovals[TransactionID],tblTransactions[[#This Row],[TransactionID]],tblApprovals[ApprovalID],tblTransactions[[#This Row],[ApprovalID]])=0),"R3 - Missing or Mismatched Approval Record", "")</f>
        <v/>
      </c>
      <c r="L7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3" t="str">
        <f>IF(AND(tblTransactions[[#This Row],[TransactionStatus]]="Success",COUNTIF(tblSettlement[TransactionID],tblTransactions[[#This Row],[TransactionID]])=0)," R5 - Successful Transaction Not Settled", "")</f>
        <v/>
      </c>
      <c r="N73" t="str">
        <f>IF(AND(COUNTIF(tblSettlement[TransactionID],tblTransactions[[#This Row],[TransactionID]])&gt;0,tblTransactions[[#This Row],[Amount]]&lt;&gt;SUMIF(tblSettlement[TransactionID],tblTransactions[[#This Row],[TransactionID]],tblSettlement[SettledAmount]))," R6 - Settlement Amount Mismatch", "")</f>
        <v/>
      </c>
      <c r="O73" t="str">
        <f>IF(AND(tblTransactions[[#This Row],[CustomerRef]] &lt;&gt;"",COUNTIFS(tblTransactions[CustomerRef],tblTransactions[[#This Row],[CustomerRef]],tblTransactions[Amount],tblTransactions[[#This Row],[Amount]],tblTransactions[Date],tblTransactions[[#This Row],[Date]])&gt;1),"Yes","No")</f>
        <v>No</v>
      </c>
    </row>
    <row r="74" spans="1:15" x14ac:dyDescent="0.3">
      <c r="A74" t="s">
        <v>230</v>
      </c>
      <c r="B74" s="2">
        <v>46207.466666666667</v>
      </c>
      <c r="C74" t="s">
        <v>9</v>
      </c>
      <c r="D74" t="s">
        <v>69</v>
      </c>
      <c r="E74" s="6">
        <v>62982.36</v>
      </c>
      <c r="F74" t="s">
        <v>11</v>
      </c>
      <c r="G74" t="s">
        <v>231</v>
      </c>
      <c r="H74" t="s">
        <v>232</v>
      </c>
      <c r="I74" s="116">
        <f>INT(tblTransactions[[#This Row],[TransactionDate]])</f>
        <v>46207</v>
      </c>
      <c r="J74" t="str">
        <f>IF(tblTransactions[[#This Row],[ApprovalID]]="", "R2 - Missing Approval Reference", "")</f>
        <v/>
      </c>
      <c r="K74" t="str">
        <f>IF(AND(tblTransactions[[#This Row],[ApprovalID]]&lt;&gt;"",COUNTIFS(tblApprovals[TransactionID],tblTransactions[[#This Row],[TransactionID]],tblApprovals[ApprovalID],tblTransactions[[#This Row],[ApprovalID]])=0),"R3 - Missing or Mismatched Approval Record", "")</f>
        <v/>
      </c>
      <c r="L7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4" t="str">
        <f>IF(AND(tblTransactions[[#This Row],[TransactionStatus]]="Success",COUNTIF(tblSettlement[TransactionID],tblTransactions[[#This Row],[TransactionID]])=0)," R5 - Successful Transaction Not Settled", "")</f>
        <v/>
      </c>
      <c r="N74" t="str">
        <f>IF(AND(COUNTIF(tblSettlement[TransactionID],tblTransactions[[#This Row],[TransactionID]])&gt;0,tblTransactions[[#This Row],[Amount]]&lt;&gt;SUMIF(tblSettlement[TransactionID],tblTransactions[[#This Row],[TransactionID]],tblSettlement[SettledAmount]))," R6 - Settlement Amount Mismatch", "")</f>
        <v/>
      </c>
      <c r="O74" t="str">
        <f>IF(AND(tblTransactions[[#This Row],[CustomerRef]] &lt;&gt;"",COUNTIFS(tblTransactions[CustomerRef],tblTransactions[[#This Row],[CustomerRef]],tblTransactions[Amount],tblTransactions[[#This Row],[Amount]],tblTransactions[Date],tblTransactions[[#This Row],[Date]])&gt;1),"Yes","No")</f>
        <v>No</v>
      </c>
    </row>
    <row r="75" spans="1:15" x14ac:dyDescent="0.3">
      <c r="A75" t="s">
        <v>233</v>
      </c>
      <c r="B75" s="2">
        <v>46276.478472222225</v>
      </c>
      <c r="C75" t="s">
        <v>9</v>
      </c>
      <c r="D75" t="s">
        <v>15</v>
      </c>
      <c r="E75" s="6">
        <v>52535.01</v>
      </c>
      <c r="F75" t="s">
        <v>11</v>
      </c>
      <c r="G75" t="s">
        <v>234</v>
      </c>
      <c r="H75" t="s">
        <v>235</v>
      </c>
      <c r="I75" s="116">
        <f>INT(tblTransactions[[#This Row],[TransactionDate]])</f>
        <v>46276</v>
      </c>
      <c r="J75" t="str">
        <f>IF(tblTransactions[[#This Row],[ApprovalID]]="", "R2 - Missing Approval Reference", "")</f>
        <v/>
      </c>
      <c r="K75" t="str">
        <f>IF(AND(tblTransactions[[#This Row],[ApprovalID]]&lt;&gt;"",COUNTIFS(tblApprovals[TransactionID],tblTransactions[[#This Row],[TransactionID]],tblApprovals[ApprovalID],tblTransactions[[#This Row],[ApprovalID]])=0),"R3 - Missing or Mismatched Approval Record", "")</f>
        <v/>
      </c>
      <c r="L7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5" t="str">
        <f>IF(AND(tblTransactions[[#This Row],[TransactionStatus]]="Success",COUNTIF(tblSettlement[TransactionID],tblTransactions[[#This Row],[TransactionID]])=0)," R5 - Successful Transaction Not Settled", "")</f>
        <v/>
      </c>
      <c r="N75" t="str">
        <f>IF(AND(COUNTIF(tblSettlement[TransactionID],tblTransactions[[#This Row],[TransactionID]])&gt;0,tblTransactions[[#This Row],[Amount]]&lt;&gt;SUMIF(tblSettlement[TransactionID],tblTransactions[[#This Row],[TransactionID]],tblSettlement[SettledAmount]))," R6 - Settlement Amount Mismatch", "")</f>
        <v/>
      </c>
      <c r="O75" t="str">
        <f>IF(AND(tblTransactions[[#This Row],[CustomerRef]] &lt;&gt;"",COUNTIFS(tblTransactions[CustomerRef],tblTransactions[[#This Row],[CustomerRef]],tblTransactions[Amount],tblTransactions[[#This Row],[Amount]],tblTransactions[Date],tblTransactions[[#This Row],[Date]])&gt;1),"Yes","No")</f>
        <v>No</v>
      </c>
    </row>
    <row r="76" spans="1:15" x14ac:dyDescent="0.3">
      <c r="A76" t="s">
        <v>236</v>
      </c>
      <c r="B76" s="2">
        <v>46224.504166666666</v>
      </c>
      <c r="C76" t="s">
        <v>19</v>
      </c>
      <c r="D76" t="s">
        <v>29</v>
      </c>
      <c r="E76" s="6">
        <v>43506.68</v>
      </c>
      <c r="F76" t="s">
        <v>111</v>
      </c>
      <c r="G76" t="s">
        <v>237</v>
      </c>
      <c r="H76" t="s">
        <v>238</v>
      </c>
      <c r="I76" s="116">
        <f>INT(tblTransactions[[#This Row],[TransactionDate]])</f>
        <v>46224</v>
      </c>
      <c r="J76" t="str">
        <f>IF(tblTransactions[[#This Row],[ApprovalID]]="", "R2 - Missing Approval Reference", "")</f>
        <v/>
      </c>
      <c r="K76" t="str">
        <f>IF(AND(tblTransactions[[#This Row],[ApprovalID]]&lt;&gt;"",COUNTIFS(tblApprovals[TransactionID],tblTransactions[[#This Row],[TransactionID]],tblApprovals[ApprovalID],tblTransactions[[#This Row],[ApprovalID]])=0),"R3 - Missing or Mismatched Approval Record", "")</f>
        <v/>
      </c>
      <c r="L7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6" t="str">
        <f>IF(AND(tblTransactions[[#This Row],[TransactionStatus]]="Success",COUNTIF(tblSettlement[TransactionID],tblTransactions[[#This Row],[TransactionID]])=0)," R5 - Successful Transaction Not Settled", "")</f>
        <v/>
      </c>
      <c r="N76" t="str">
        <f>IF(AND(COUNTIF(tblSettlement[TransactionID],tblTransactions[[#This Row],[TransactionID]])&gt;0,tblTransactions[[#This Row],[Amount]]&lt;&gt;SUMIF(tblSettlement[TransactionID],tblTransactions[[#This Row],[TransactionID]],tblSettlement[SettledAmount]))," R6 - Settlement Amount Mismatch", "")</f>
        <v/>
      </c>
      <c r="O76" t="str">
        <f>IF(AND(tblTransactions[[#This Row],[CustomerRef]] &lt;&gt;"",COUNTIFS(tblTransactions[CustomerRef],tblTransactions[[#This Row],[CustomerRef]],tblTransactions[Amount],tblTransactions[[#This Row],[Amount]],tblTransactions[Date],tblTransactions[[#This Row],[Date]])&gt;1),"Yes","No")</f>
        <v>No</v>
      </c>
    </row>
    <row r="77" spans="1:15" x14ac:dyDescent="0.3">
      <c r="A77" t="s">
        <v>239</v>
      </c>
      <c r="B77" s="2">
        <v>46213.738888888889</v>
      </c>
      <c r="C77" t="s">
        <v>28</v>
      </c>
      <c r="D77" t="s">
        <v>20</v>
      </c>
      <c r="E77" s="6">
        <v>62335.23</v>
      </c>
      <c r="F77" t="s">
        <v>11</v>
      </c>
      <c r="G77" t="s">
        <v>240</v>
      </c>
      <c r="H77" t="s">
        <v>241</v>
      </c>
      <c r="I77" s="116">
        <f>INT(tblTransactions[[#This Row],[TransactionDate]])</f>
        <v>46213</v>
      </c>
      <c r="J77" t="str">
        <f>IF(tblTransactions[[#This Row],[ApprovalID]]="", "R2 - Missing Approval Reference", "")</f>
        <v/>
      </c>
      <c r="K77" t="str">
        <f>IF(AND(tblTransactions[[#This Row],[ApprovalID]]&lt;&gt;"",COUNTIFS(tblApprovals[TransactionID],tblTransactions[[#This Row],[TransactionID]],tblApprovals[ApprovalID],tblTransactions[[#This Row],[ApprovalID]])=0),"R3 - Missing or Mismatched Approval Record", "")</f>
        <v/>
      </c>
      <c r="L7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7" t="str">
        <f>IF(AND(tblTransactions[[#This Row],[TransactionStatus]]="Success",COUNTIF(tblSettlement[TransactionID],tblTransactions[[#This Row],[TransactionID]])=0)," R5 - Successful Transaction Not Settled", "")</f>
        <v xml:space="preserve"> R5 - Successful Transaction Not Settled</v>
      </c>
      <c r="N77" t="str">
        <f>IF(AND(COUNTIF(tblSettlement[TransactionID],tblTransactions[[#This Row],[TransactionID]])&gt;0,tblTransactions[[#This Row],[Amount]]&lt;&gt;SUMIF(tblSettlement[TransactionID],tblTransactions[[#This Row],[TransactionID]],tblSettlement[SettledAmount]))," R6 - Settlement Amount Mismatch", "")</f>
        <v/>
      </c>
      <c r="O77" t="str">
        <f>IF(AND(tblTransactions[[#This Row],[CustomerRef]] &lt;&gt;"",COUNTIFS(tblTransactions[CustomerRef],tblTransactions[[#This Row],[CustomerRef]],tblTransactions[Amount],tblTransactions[[#This Row],[Amount]],tblTransactions[Date],tblTransactions[[#This Row],[Date]])&gt;1),"Yes","No")</f>
        <v>No</v>
      </c>
    </row>
    <row r="78" spans="1:15" x14ac:dyDescent="0.3">
      <c r="A78" t="s">
        <v>242</v>
      </c>
      <c r="B78" s="2">
        <v>46276.834722222222</v>
      </c>
      <c r="C78" t="s">
        <v>24</v>
      </c>
      <c r="D78" t="s">
        <v>10</v>
      </c>
      <c r="E78" s="6">
        <v>26203.48</v>
      </c>
      <c r="F78" t="s">
        <v>11</v>
      </c>
      <c r="G78" t="s">
        <v>243</v>
      </c>
      <c r="H78" t="s">
        <v>244</v>
      </c>
      <c r="I78" s="116">
        <f>INT(tblTransactions[[#This Row],[TransactionDate]])</f>
        <v>46276</v>
      </c>
      <c r="J78" t="str">
        <f>IF(tblTransactions[[#This Row],[ApprovalID]]="", "R2 - Missing Approval Reference", "")</f>
        <v/>
      </c>
      <c r="K78" t="str">
        <f>IF(AND(tblTransactions[[#This Row],[ApprovalID]]&lt;&gt;"",COUNTIFS(tblApprovals[TransactionID],tblTransactions[[#This Row],[TransactionID]],tblApprovals[ApprovalID],tblTransactions[[#This Row],[ApprovalID]])=0),"R3 - Missing or Mismatched Approval Record", "")</f>
        <v/>
      </c>
      <c r="L7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78" t="str">
        <f>IF(AND(tblTransactions[[#This Row],[TransactionStatus]]="Success",COUNTIF(tblSettlement[TransactionID],tblTransactions[[#This Row],[TransactionID]])=0)," R5 - Successful Transaction Not Settled", "")</f>
        <v/>
      </c>
      <c r="N78" t="str">
        <f>IF(AND(COUNTIF(tblSettlement[TransactionID],tblTransactions[[#This Row],[TransactionID]])&gt;0,tblTransactions[[#This Row],[Amount]]&lt;&gt;SUMIF(tblSettlement[TransactionID],tblTransactions[[#This Row],[TransactionID]],tblSettlement[SettledAmount]))," R6 - Settlement Amount Mismatch", "")</f>
        <v/>
      </c>
      <c r="O78" t="str">
        <f>IF(AND(tblTransactions[[#This Row],[CustomerRef]] &lt;&gt;"",COUNTIFS(tblTransactions[CustomerRef],tblTransactions[[#This Row],[CustomerRef]],tblTransactions[Amount],tblTransactions[[#This Row],[Amount]],tblTransactions[Date],tblTransactions[[#This Row],[Date]])&gt;1),"Yes","No")</f>
        <v>No</v>
      </c>
    </row>
    <row r="79" spans="1:15" x14ac:dyDescent="0.3">
      <c r="A79" t="s">
        <v>245</v>
      </c>
      <c r="B79" s="2">
        <v>46205.893055555556</v>
      </c>
      <c r="C79" t="s">
        <v>24</v>
      </c>
      <c r="D79" t="s">
        <v>29</v>
      </c>
      <c r="E79" s="6">
        <v>61719.24</v>
      </c>
      <c r="F79" t="s">
        <v>11</v>
      </c>
      <c r="G79" t="s">
        <v>246</v>
      </c>
      <c r="H79" t="s">
        <v>247</v>
      </c>
      <c r="I79" s="116">
        <f>INT(tblTransactions[[#This Row],[TransactionDate]])</f>
        <v>46205</v>
      </c>
      <c r="J79" t="str">
        <f>IF(tblTransactions[[#This Row],[ApprovalID]]="", "R2 - Missing Approval Reference", "")</f>
        <v/>
      </c>
      <c r="K79" t="str">
        <f>IF(AND(tblTransactions[[#This Row],[ApprovalID]]&lt;&gt;"",COUNTIFS(tblApprovals[TransactionID],tblTransactions[[#This Row],[TransactionID]],tblApprovals[ApprovalID],tblTransactions[[#This Row],[ApprovalID]])=0),"R3 - Missing or Mismatched Approval Record", "")</f>
        <v/>
      </c>
      <c r="L7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79" t="str">
        <f>IF(AND(tblTransactions[[#This Row],[TransactionStatus]]="Success",COUNTIF(tblSettlement[TransactionID],tblTransactions[[#This Row],[TransactionID]])=0)," R5 - Successful Transaction Not Settled", "")</f>
        <v/>
      </c>
      <c r="N79" t="str">
        <f>IF(AND(COUNTIF(tblSettlement[TransactionID],tblTransactions[[#This Row],[TransactionID]])&gt;0,tblTransactions[[#This Row],[Amount]]&lt;&gt;SUMIF(tblSettlement[TransactionID],tblTransactions[[#This Row],[TransactionID]],tblSettlement[SettledAmount]))," R6 - Settlement Amount Mismatch", "")</f>
        <v/>
      </c>
      <c r="O79" t="str">
        <f>IF(AND(tblTransactions[[#This Row],[CustomerRef]] &lt;&gt;"",COUNTIFS(tblTransactions[CustomerRef],tblTransactions[[#This Row],[CustomerRef]],tblTransactions[Amount],tblTransactions[[#This Row],[Amount]],tblTransactions[Date],tblTransactions[[#This Row],[Date]])&gt;1),"Yes","No")</f>
        <v>No</v>
      </c>
    </row>
    <row r="80" spans="1:15" x14ac:dyDescent="0.3">
      <c r="A80" t="s">
        <v>248</v>
      </c>
      <c r="B80" s="2">
        <v>46226.814583333333</v>
      </c>
      <c r="C80" t="s">
        <v>19</v>
      </c>
      <c r="D80" t="s">
        <v>29</v>
      </c>
      <c r="E80" s="6">
        <v>72419.16</v>
      </c>
      <c r="F80" t="s">
        <v>11</v>
      </c>
      <c r="G80" t="s">
        <v>249</v>
      </c>
      <c r="H80" t="s">
        <v>250</v>
      </c>
      <c r="I80" s="116">
        <f>INT(tblTransactions[[#This Row],[TransactionDate]])</f>
        <v>46226</v>
      </c>
      <c r="J80" t="str">
        <f>IF(tblTransactions[[#This Row],[ApprovalID]]="", "R2 - Missing Approval Reference", "")</f>
        <v/>
      </c>
      <c r="K80" t="str">
        <f>IF(AND(tblTransactions[[#This Row],[ApprovalID]]&lt;&gt;"",COUNTIFS(tblApprovals[TransactionID],tblTransactions[[#This Row],[TransactionID]],tblApprovals[ApprovalID],tblTransactions[[#This Row],[ApprovalID]])=0),"R3 - Missing or Mismatched Approval Record", "")</f>
        <v/>
      </c>
      <c r="L8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0" t="str">
        <f>IF(AND(tblTransactions[[#This Row],[TransactionStatus]]="Success",COUNTIF(tblSettlement[TransactionID],tblTransactions[[#This Row],[TransactionID]])=0)," R5 - Successful Transaction Not Settled", "")</f>
        <v/>
      </c>
      <c r="N80" t="str">
        <f>IF(AND(COUNTIF(tblSettlement[TransactionID],tblTransactions[[#This Row],[TransactionID]])&gt;0,tblTransactions[[#This Row],[Amount]]&lt;&gt;SUMIF(tblSettlement[TransactionID],tblTransactions[[#This Row],[TransactionID]],tblSettlement[SettledAmount]))," R6 - Settlement Amount Mismatch", "")</f>
        <v/>
      </c>
      <c r="O80" t="str">
        <f>IF(AND(tblTransactions[[#This Row],[CustomerRef]] &lt;&gt;"",COUNTIFS(tblTransactions[CustomerRef],tblTransactions[[#This Row],[CustomerRef]],tblTransactions[Amount],tblTransactions[[#This Row],[Amount]],tblTransactions[Date],tblTransactions[[#This Row],[Date]])&gt;1),"Yes","No")</f>
        <v>No</v>
      </c>
    </row>
    <row r="81" spans="1:15" x14ac:dyDescent="0.3">
      <c r="A81" t="s">
        <v>251</v>
      </c>
      <c r="B81" s="2">
        <v>46245.885416666664</v>
      </c>
      <c r="C81" t="s">
        <v>43</v>
      </c>
      <c r="D81" t="s">
        <v>69</v>
      </c>
      <c r="E81" s="6">
        <v>62347.14</v>
      </c>
      <c r="F81" t="s">
        <v>11</v>
      </c>
      <c r="G81" t="s">
        <v>252</v>
      </c>
      <c r="H81" t="s">
        <v>253</v>
      </c>
      <c r="I81" s="116">
        <f>INT(tblTransactions[[#This Row],[TransactionDate]])</f>
        <v>46245</v>
      </c>
      <c r="J81" t="str">
        <f>IF(tblTransactions[[#This Row],[ApprovalID]]="", "R2 - Missing Approval Reference", "")</f>
        <v/>
      </c>
      <c r="K81" t="str">
        <f>IF(AND(tblTransactions[[#This Row],[ApprovalID]]&lt;&gt;"",COUNTIFS(tblApprovals[TransactionID],tblTransactions[[#This Row],[TransactionID]],tblApprovals[ApprovalID],tblTransactions[[#This Row],[ApprovalID]])=0),"R3 - Missing or Mismatched Approval Record", "")</f>
        <v/>
      </c>
      <c r="L8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1" t="str">
        <f>IF(AND(tblTransactions[[#This Row],[TransactionStatus]]="Success",COUNTIF(tblSettlement[TransactionID],tblTransactions[[#This Row],[TransactionID]])=0)," R5 - Successful Transaction Not Settled", "")</f>
        <v/>
      </c>
      <c r="N81" t="str">
        <f>IF(AND(COUNTIF(tblSettlement[TransactionID],tblTransactions[[#This Row],[TransactionID]])&gt;0,tblTransactions[[#This Row],[Amount]]&lt;&gt;SUMIF(tblSettlement[TransactionID],tblTransactions[[#This Row],[TransactionID]],tblSettlement[SettledAmount]))," R6 - Settlement Amount Mismatch", "")</f>
        <v/>
      </c>
      <c r="O81" t="str">
        <f>IF(AND(tblTransactions[[#This Row],[CustomerRef]] &lt;&gt;"",COUNTIFS(tblTransactions[CustomerRef],tblTransactions[[#This Row],[CustomerRef]],tblTransactions[Amount],tblTransactions[[#This Row],[Amount]],tblTransactions[Date],tblTransactions[[#This Row],[Date]])&gt;1),"Yes","No")</f>
        <v>No</v>
      </c>
    </row>
    <row r="82" spans="1:15" x14ac:dyDescent="0.3">
      <c r="A82" t="s">
        <v>254</v>
      </c>
      <c r="B82" s="2">
        <v>46247.354861111111</v>
      </c>
      <c r="C82" t="s">
        <v>9</v>
      </c>
      <c r="D82" t="s">
        <v>20</v>
      </c>
      <c r="E82" s="6">
        <v>63858.720000000001</v>
      </c>
      <c r="F82" t="s">
        <v>11</v>
      </c>
      <c r="G82" t="s">
        <v>255</v>
      </c>
      <c r="H82" t="s">
        <v>256</v>
      </c>
      <c r="I82" s="116">
        <f>INT(tblTransactions[[#This Row],[TransactionDate]])</f>
        <v>46247</v>
      </c>
      <c r="J82" t="str">
        <f>IF(tblTransactions[[#This Row],[ApprovalID]]="", "R2 - Missing Approval Reference", "")</f>
        <v/>
      </c>
      <c r="K82" t="str">
        <f>IF(AND(tblTransactions[[#This Row],[ApprovalID]]&lt;&gt;"",COUNTIFS(tblApprovals[TransactionID],tblTransactions[[#This Row],[TransactionID]],tblApprovals[ApprovalID],tblTransactions[[#This Row],[ApprovalID]])=0),"R3 - Missing or Mismatched Approval Record", "")</f>
        <v/>
      </c>
      <c r="L8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2" t="str">
        <f>IF(AND(tblTransactions[[#This Row],[TransactionStatus]]="Success",COUNTIF(tblSettlement[TransactionID],tblTransactions[[#This Row],[TransactionID]])=0)," R5 - Successful Transaction Not Settled", "")</f>
        <v/>
      </c>
      <c r="N82" t="str">
        <f>IF(AND(COUNTIF(tblSettlement[TransactionID],tblTransactions[[#This Row],[TransactionID]])&gt;0,tblTransactions[[#This Row],[Amount]]&lt;&gt;SUMIF(tblSettlement[TransactionID],tblTransactions[[#This Row],[TransactionID]],tblSettlement[SettledAmount]))," R6 - Settlement Amount Mismatch", "")</f>
        <v/>
      </c>
      <c r="O82" t="str">
        <f>IF(AND(tblTransactions[[#This Row],[CustomerRef]] &lt;&gt;"",COUNTIFS(tblTransactions[CustomerRef],tblTransactions[[#This Row],[CustomerRef]],tblTransactions[Amount],tblTransactions[[#This Row],[Amount]],tblTransactions[Date],tblTransactions[[#This Row],[Date]])&gt;1),"Yes","No")</f>
        <v>No</v>
      </c>
    </row>
    <row r="83" spans="1:15" x14ac:dyDescent="0.3">
      <c r="A83" t="s">
        <v>257</v>
      </c>
      <c r="B83" s="2">
        <v>46239.943055555559</v>
      </c>
      <c r="C83" t="s">
        <v>47</v>
      </c>
      <c r="D83" t="s">
        <v>15</v>
      </c>
      <c r="E83" s="6">
        <v>52663.49</v>
      </c>
      <c r="F83" t="s">
        <v>11</v>
      </c>
      <c r="G83" t="s">
        <v>258</v>
      </c>
      <c r="H83" t="s">
        <v>259</v>
      </c>
      <c r="I83" s="116">
        <f>INT(tblTransactions[[#This Row],[TransactionDate]])</f>
        <v>46239</v>
      </c>
      <c r="J83" t="str">
        <f>IF(tblTransactions[[#This Row],[ApprovalID]]="", "R2 - Missing Approval Reference", "")</f>
        <v/>
      </c>
      <c r="K83" t="str">
        <f>IF(AND(tblTransactions[[#This Row],[ApprovalID]]&lt;&gt;"",COUNTIFS(tblApprovals[TransactionID],tblTransactions[[#This Row],[TransactionID]],tblApprovals[ApprovalID],tblTransactions[[#This Row],[ApprovalID]])=0),"R3 - Missing or Mismatched Approval Record", "")</f>
        <v/>
      </c>
      <c r="L8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3" t="str">
        <f>IF(AND(tblTransactions[[#This Row],[TransactionStatus]]="Success",COUNTIF(tblSettlement[TransactionID],tblTransactions[[#This Row],[TransactionID]])=0)," R5 - Successful Transaction Not Settled", "")</f>
        <v/>
      </c>
      <c r="N83" t="str">
        <f>IF(AND(COUNTIF(tblSettlement[TransactionID],tblTransactions[[#This Row],[TransactionID]])&gt;0,tblTransactions[[#This Row],[Amount]]&lt;&gt;SUMIF(tblSettlement[TransactionID],tblTransactions[[#This Row],[TransactionID]],tblSettlement[SettledAmount]))," R6 - Settlement Amount Mismatch", "")</f>
        <v/>
      </c>
      <c r="O83" t="str">
        <f>IF(AND(tblTransactions[[#This Row],[CustomerRef]] &lt;&gt;"",COUNTIFS(tblTransactions[CustomerRef],tblTransactions[[#This Row],[CustomerRef]],tblTransactions[Amount],tblTransactions[[#This Row],[Amount]],tblTransactions[Date],tblTransactions[[#This Row],[Date]])&gt;1),"Yes","No")</f>
        <v>No</v>
      </c>
    </row>
    <row r="84" spans="1:15" x14ac:dyDescent="0.3">
      <c r="A84" t="s">
        <v>260</v>
      </c>
      <c r="B84" s="2">
        <v>46234.80972222222</v>
      </c>
      <c r="C84" t="s">
        <v>28</v>
      </c>
      <c r="D84" t="s">
        <v>29</v>
      </c>
      <c r="E84" s="6">
        <v>36771.19</v>
      </c>
      <c r="F84" t="s">
        <v>11</v>
      </c>
      <c r="G84" t="s">
        <v>261</v>
      </c>
      <c r="H84" t="s">
        <v>262</v>
      </c>
      <c r="I84" s="116">
        <f>INT(tblTransactions[[#This Row],[TransactionDate]])</f>
        <v>46234</v>
      </c>
      <c r="J84" t="str">
        <f>IF(tblTransactions[[#This Row],[ApprovalID]]="", "R2 - Missing Approval Reference", "")</f>
        <v/>
      </c>
      <c r="K84" t="str">
        <f>IF(AND(tblTransactions[[#This Row],[ApprovalID]]&lt;&gt;"",COUNTIFS(tblApprovals[TransactionID],tblTransactions[[#This Row],[TransactionID]],tblApprovals[ApprovalID],tblTransactions[[#This Row],[ApprovalID]])=0),"R3 - Missing or Mismatched Approval Record", "")</f>
        <v/>
      </c>
      <c r="L8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4" t="str">
        <f>IF(AND(tblTransactions[[#This Row],[TransactionStatus]]="Success",COUNTIF(tblSettlement[TransactionID],tblTransactions[[#This Row],[TransactionID]])=0)," R5 - Successful Transaction Not Settled", "")</f>
        <v/>
      </c>
      <c r="N84" t="str">
        <f>IF(AND(COUNTIF(tblSettlement[TransactionID],tblTransactions[[#This Row],[TransactionID]])&gt;0,tblTransactions[[#This Row],[Amount]]&lt;&gt;SUMIF(tblSettlement[TransactionID],tblTransactions[[#This Row],[TransactionID]],tblSettlement[SettledAmount]))," R6 - Settlement Amount Mismatch", "")</f>
        <v/>
      </c>
      <c r="O84" t="str">
        <f>IF(AND(tblTransactions[[#This Row],[CustomerRef]] &lt;&gt;"",COUNTIFS(tblTransactions[CustomerRef],tblTransactions[[#This Row],[CustomerRef]],tblTransactions[Amount],tblTransactions[[#This Row],[Amount]],tblTransactions[Date],tblTransactions[[#This Row],[Date]])&gt;1),"Yes","No")</f>
        <v>No</v>
      </c>
    </row>
    <row r="85" spans="1:15" x14ac:dyDescent="0.3">
      <c r="A85" t="s">
        <v>263</v>
      </c>
      <c r="B85" s="2">
        <v>46261.834027777775</v>
      </c>
      <c r="C85" t="s">
        <v>28</v>
      </c>
      <c r="D85" t="s">
        <v>69</v>
      </c>
      <c r="E85" s="6">
        <v>7205.74</v>
      </c>
      <c r="F85" t="s">
        <v>11</v>
      </c>
      <c r="G85" t="s">
        <v>264</v>
      </c>
      <c r="H85" t="s">
        <v>265</v>
      </c>
      <c r="I85" s="116">
        <f>INT(tblTransactions[[#This Row],[TransactionDate]])</f>
        <v>46261</v>
      </c>
      <c r="J85" t="str">
        <f>IF(tblTransactions[[#This Row],[ApprovalID]]="", "R2 - Missing Approval Reference", "")</f>
        <v/>
      </c>
      <c r="K85" t="str">
        <f>IF(AND(tblTransactions[[#This Row],[ApprovalID]]&lt;&gt;"",COUNTIFS(tblApprovals[TransactionID],tblTransactions[[#This Row],[TransactionID]],tblApprovals[ApprovalID],tblTransactions[[#This Row],[ApprovalID]])=0),"R3 - Missing or Mismatched Approval Record", "")</f>
        <v/>
      </c>
      <c r="L8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5" t="str">
        <f>IF(AND(tblTransactions[[#This Row],[TransactionStatus]]="Success",COUNTIF(tblSettlement[TransactionID],tblTransactions[[#This Row],[TransactionID]])=0)," R5 - Successful Transaction Not Settled", "")</f>
        <v/>
      </c>
      <c r="N85" t="str">
        <f>IF(AND(COUNTIF(tblSettlement[TransactionID],tblTransactions[[#This Row],[TransactionID]])&gt;0,tblTransactions[[#This Row],[Amount]]&lt;&gt;SUMIF(tblSettlement[TransactionID],tblTransactions[[#This Row],[TransactionID]],tblSettlement[SettledAmount]))," R6 - Settlement Amount Mismatch", "")</f>
        <v/>
      </c>
      <c r="O85" t="str">
        <f>IF(AND(tblTransactions[[#This Row],[CustomerRef]] &lt;&gt;"",COUNTIFS(tblTransactions[CustomerRef],tblTransactions[[#This Row],[CustomerRef]],tblTransactions[Amount],tblTransactions[[#This Row],[Amount]],tblTransactions[Date],tblTransactions[[#This Row],[Date]])&gt;1),"Yes","No")</f>
        <v>No</v>
      </c>
    </row>
    <row r="86" spans="1:15" x14ac:dyDescent="0.3">
      <c r="A86" t="s">
        <v>266</v>
      </c>
      <c r="B86" s="2">
        <v>46264.689583333333</v>
      </c>
      <c r="C86" t="s">
        <v>19</v>
      </c>
      <c r="D86" t="s">
        <v>20</v>
      </c>
      <c r="E86" s="6">
        <v>25945.87</v>
      </c>
      <c r="F86" t="s">
        <v>36</v>
      </c>
      <c r="G86" t="s">
        <v>267</v>
      </c>
      <c r="H86" t="s">
        <v>268</v>
      </c>
      <c r="I86" s="116">
        <f>INT(tblTransactions[[#This Row],[TransactionDate]])</f>
        <v>46264</v>
      </c>
      <c r="J86" t="str">
        <f>IF(tblTransactions[[#This Row],[ApprovalID]]="", "R2 - Missing Approval Reference", "")</f>
        <v/>
      </c>
      <c r="K86" t="str">
        <f>IF(AND(tblTransactions[[#This Row],[ApprovalID]]&lt;&gt;"",COUNTIFS(tblApprovals[TransactionID],tblTransactions[[#This Row],[TransactionID]],tblApprovals[ApprovalID],tblTransactions[[#This Row],[ApprovalID]])=0),"R3 - Missing or Mismatched Approval Record", "")</f>
        <v/>
      </c>
      <c r="L8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6" t="str">
        <f>IF(AND(tblTransactions[[#This Row],[TransactionStatus]]="Success",COUNTIF(tblSettlement[TransactionID],tblTransactions[[#This Row],[TransactionID]])=0)," R5 - Successful Transaction Not Settled", "")</f>
        <v/>
      </c>
      <c r="N86" t="str">
        <f>IF(AND(COUNTIF(tblSettlement[TransactionID],tblTransactions[[#This Row],[TransactionID]])&gt;0,tblTransactions[[#This Row],[Amount]]&lt;&gt;SUMIF(tblSettlement[TransactionID],tblTransactions[[#This Row],[TransactionID]],tblSettlement[SettledAmount]))," R6 - Settlement Amount Mismatch", "")</f>
        <v/>
      </c>
      <c r="O86" t="str">
        <f>IF(AND(tblTransactions[[#This Row],[CustomerRef]] &lt;&gt;"",COUNTIFS(tblTransactions[CustomerRef],tblTransactions[[#This Row],[CustomerRef]],tblTransactions[Amount],tblTransactions[[#This Row],[Amount]],tblTransactions[Date],tblTransactions[[#This Row],[Date]])&gt;1),"Yes","No")</f>
        <v>No</v>
      </c>
    </row>
    <row r="87" spans="1:15" x14ac:dyDescent="0.3">
      <c r="A87" t="s">
        <v>269</v>
      </c>
      <c r="B87" s="2">
        <v>46238.511111111111</v>
      </c>
      <c r="C87" t="s">
        <v>24</v>
      </c>
      <c r="D87" t="s">
        <v>10</v>
      </c>
      <c r="E87" s="6">
        <v>17482.72</v>
      </c>
      <c r="F87" t="s">
        <v>11</v>
      </c>
      <c r="G87" t="s">
        <v>270</v>
      </c>
      <c r="H87" t="s">
        <v>271</v>
      </c>
      <c r="I87" s="116">
        <f>INT(tblTransactions[[#This Row],[TransactionDate]])</f>
        <v>46238</v>
      </c>
      <c r="J87" t="str">
        <f>IF(tblTransactions[[#This Row],[ApprovalID]]="", "R2 - Missing Approval Reference", "")</f>
        <v/>
      </c>
      <c r="K87" t="str">
        <f>IF(AND(tblTransactions[[#This Row],[ApprovalID]]&lt;&gt;"",COUNTIFS(tblApprovals[TransactionID],tblTransactions[[#This Row],[TransactionID]],tblApprovals[ApprovalID],tblTransactions[[#This Row],[ApprovalID]])=0),"R3 - Missing or Mismatched Approval Record", "")</f>
        <v/>
      </c>
      <c r="L8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7" t="str">
        <f>IF(AND(tblTransactions[[#This Row],[TransactionStatus]]="Success",COUNTIF(tblSettlement[TransactionID],tblTransactions[[#This Row],[TransactionID]])=0)," R5 - Successful Transaction Not Settled", "")</f>
        <v/>
      </c>
      <c r="N87" t="str">
        <f>IF(AND(COUNTIF(tblSettlement[TransactionID],tblTransactions[[#This Row],[TransactionID]])&gt;0,tblTransactions[[#This Row],[Amount]]&lt;&gt;SUMIF(tblSettlement[TransactionID],tblTransactions[[#This Row],[TransactionID]],tblSettlement[SettledAmount]))," R6 - Settlement Amount Mismatch", "")</f>
        <v/>
      </c>
      <c r="O87" t="str">
        <f>IF(AND(tblTransactions[[#This Row],[CustomerRef]] &lt;&gt;"",COUNTIFS(tblTransactions[CustomerRef],tblTransactions[[#This Row],[CustomerRef]],tblTransactions[Amount],tblTransactions[[#This Row],[Amount]],tblTransactions[Date],tblTransactions[[#This Row],[Date]])&gt;1),"Yes","No")</f>
        <v>No</v>
      </c>
    </row>
    <row r="88" spans="1:15" x14ac:dyDescent="0.3">
      <c r="A88" t="s">
        <v>272</v>
      </c>
      <c r="B88" s="2">
        <v>46228.490972222222</v>
      </c>
      <c r="C88" t="s">
        <v>19</v>
      </c>
      <c r="D88" t="s">
        <v>15</v>
      </c>
      <c r="E88" s="6">
        <v>36443.839999999997</v>
      </c>
      <c r="F88" t="s">
        <v>11</v>
      </c>
      <c r="G88" t="s">
        <v>273</v>
      </c>
      <c r="H88" t="s">
        <v>274</v>
      </c>
      <c r="I88" s="116">
        <f>INT(tblTransactions[[#This Row],[TransactionDate]])</f>
        <v>46228</v>
      </c>
      <c r="J88" t="str">
        <f>IF(tblTransactions[[#This Row],[ApprovalID]]="", "R2 - Missing Approval Reference", "")</f>
        <v/>
      </c>
      <c r="K88" t="str">
        <f>IF(AND(tblTransactions[[#This Row],[ApprovalID]]&lt;&gt;"",COUNTIFS(tblApprovals[TransactionID],tblTransactions[[#This Row],[TransactionID]],tblApprovals[ApprovalID],tblTransactions[[#This Row],[ApprovalID]])=0),"R3 - Missing or Mismatched Approval Record", "")</f>
        <v/>
      </c>
      <c r="L8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8" t="str">
        <f>IF(AND(tblTransactions[[#This Row],[TransactionStatus]]="Success",COUNTIF(tblSettlement[TransactionID],tblTransactions[[#This Row],[TransactionID]])=0)," R5 - Successful Transaction Not Settled", "")</f>
        <v/>
      </c>
      <c r="N88" t="str">
        <f>IF(AND(COUNTIF(tblSettlement[TransactionID],tblTransactions[[#This Row],[TransactionID]])&gt;0,tblTransactions[[#This Row],[Amount]]&lt;&gt;SUMIF(tblSettlement[TransactionID],tblTransactions[[#This Row],[TransactionID]],tblSettlement[SettledAmount]))," R6 - Settlement Amount Mismatch", "")</f>
        <v/>
      </c>
      <c r="O88" t="str">
        <f>IF(AND(tblTransactions[[#This Row],[CustomerRef]] &lt;&gt;"",COUNTIFS(tblTransactions[CustomerRef],tblTransactions[[#This Row],[CustomerRef]],tblTransactions[Amount],tblTransactions[[#This Row],[Amount]],tblTransactions[Date],tblTransactions[[#This Row],[Date]])&gt;1),"Yes","No")</f>
        <v>No</v>
      </c>
    </row>
    <row r="89" spans="1:15" x14ac:dyDescent="0.3">
      <c r="A89" t="s">
        <v>275</v>
      </c>
      <c r="B89" s="2">
        <v>46228.509722222225</v>
      </c>
      <c r="C89" t="s">
        <v>28</v>
      </c>
      <c r="D89" t="s">
        <v>15</v>
      </c>
      <c r="E89" s="6">
        <v>27225.86</v>
      </c>
      <c r="F89" t="s">
        <v>11</v>
      </c>
      <c r="G89" t="s">
        <v>276</v>
      </c>
      <c r="H89" t="s">
        <v>277</v>
      </c>
      <c r="I89" s="116">
        <f>INT(tblTransactions[[#This Row],[TransactionDate]])</f>
        <v>46228</v>
      </c>
      <c r="J89" t="str">
        <f>IF(tblTransactions[[#This Row],[ApprovalID]]="", "R2 - Missing Approval Reference", "")</f>
        <v/>
      </c>
      <c r="K89" t="str">
        <f>IF(AND(tblTransactions[[#This Row],[ApprovalID]]&lt;&gt;"",COUNTIFS(tblApprovals[TransactionID],tblTransactions[[#This Row],[TransactionID]],tblApprovals[ApprovalID],tblTransactions[[#This Row],[ApprovalID]])=0),"R3 - Missing or Mismatched Approval Record", "")</f>
        <v/>
      </c>
      <c r="L8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89" t="str">
        <f>IF(AND(tblTransactions[[#This Row],[TransactionStatus]]="Success",COUNTIF(tblSettlement[TransactionID],tblTransactions[[#This Row],[TransactionID]])=0)," R5 - Successful Transaction Not Settled", "")</f>
        <v/>
      </c>
      <c r="N89" t="str">
        <f>IF(AND(COUNTIF(tblSettlement[TransactionID],tblTransactions[[#This Row],[TransactionID]])&gt;0,tblTransactions[[#This Row],[Amount]]&lt;&gt;SUMIF(tblSettlement[TransactionID],tblTransactions[[#This Row],[TransactionID]],tblSettlement[SettledAmount]))," R6 - Settlement Amount Mismatch", "")</f>
        <v/>
      </c>
      <c r="O89" t="str">
        <f>IF(AND(tblTransactions[[#This Row],[CustomerRef]] &lt;&gt;"",COUNTIFS(tblTransactions[CustomerRef],tblTransactions[[#This Row],[CustomerRef]],tblTransactions[Amount],tblTransactions[[#This Row],[Amount]],tblTransactions[Date],tblTransactions[[#This Row],[Date]])&gt;1),"Yes","No")</f>
        <v>No</v>
      </c>
    </row>
    <row r="90" spans="1:15" x14ac:dyDescent="0.3">
      <c r="A90" t="s">
        <v>278</v>
      </c>
      <c r="B90" s="2">
        <v>46210.679166666669</v>
      </c>
      <c r="C90" t="s">
        <v>43</v>
      </c>
      <c r="D90" t="s">
        <v>10</v>
      </c>
      <c r="E90" s="6">
        <v>52381.95</v>
      </c>
      <c r="F90" t="s">
        <v>11</v>
      </c>
      <c r="G90" t="s">
        <v>279</v>
      </c>
      <c r="H90" t="s">
        <v>280</v>
      </c>
      <c r="I90" s="116">
        <f>INT(tblTransactions[[#This Row],[TransactionDate]])</f>
        <v>46210</v>
      </c>
      <c r="J90" t="str">
        <f>IF(tblTransactions[[#This Row],[ApprovalID]]="", "R2 - Missing Approval Reference", "")</f>
        <v/>
      </c>
      <c r="K90" t="str">
        <f>IF(AND(tblTransactions[[#This Row],[ApprovalID]]&lt;&gt;"",COUNTIFS(tblApprovals[TransactionID],tblTransactions[[#This Row],[TransactionID]],tblApprovals[ApprovalID],tblTransactions[[#This Row],[ApprovalID]])=0),"R3 - Missing or Mismatched Approval Record", "")</f>
        <v/>
      </c>
      <c r="L9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0" t="str">
        <f>IF(AND(tblTransactions[[#This Row],[TransactionStatus]]="Success",COUNTIF(tblSettlement[TransactionID],tblTransactions[[#This Row],[TransactionID]])=0)," R5 - Successful Transaction Not Settled", "")</f>
        <v/>
      </c>
      <c r="N90" t="str">
        <f>IF(AND(COUNTIF(tblSettlement[TransactionID],tblTransactions[[#This Row],[TransactionID]])&gt;0,tblTransactions[[#This Row],[Amount]]&lt;&gt;SUMIF(tblSettlement[TransactionID],tblTransactions[[#This Row],[TransactionID]],tblSettlement[SettledAmount]))," R6 - Settlement Amount Mismatch", "")</f>
        <v/>
      </c>
      <c r="O90" t="str">
        <f>IF(AND(tblTransactions[[#This Row],[CustomerRef]] &lt;&gt;"",COUNTIFS(tblTransactions[CustomerRef],tblTransactions[[#This Row],[CustomerRef]],tblTransactions[Amount],tblTransactions[[#This Row],[Amount]],tblTransactions[Date],tblTransactions[[#This Row],[Date]])&gt;1),"Yes","No")</f>
        <v>No</v>
      </c>
    </row>
    <row r="91" spans="1:15" x14ac:dyDescent="0.3">
      <c r="A91" t="s">
        <v>281</v>
      </c>
      <c r="B91" s="2">
        <v>46264.644444444442</v>
      </c>
      <c r="C91" t="s">
        <v>24</v>
      </c>
      <c r="D91" t="s">
        <v>29</v>
      </c>
      <c r="E91" s="6">
        <v>25717.77</v>
      </c>
      <c r="F91" t="s">
        <v>111</v>
      </c>
      <c r="G91" t="s">
        <v>282</v>
      </c>
      <c r="H91" t="s">
        <v>283</v>
      </c>
      <c r="I91" s="116">
        <f>INT(tblTransactions[[#This Row],[TransactionDate]])</f>
        <v>46264</v>
      </c>
      <c r="J91" t="str">
        <f>IF(tblTransactions[[#This Row],[ApprovalID]]="", "R2 - Missing Approval Reference", "")</f>
        <v/>
      </c>
      <c r="K91" t="str">
        <f>IF(AND(tblTransactions[[#This Row],[ApprovalID]]&lt;&gt;"",COUNTIFS(tblApprovals[TransactionID],tblTransactions[[#This Row],[TransactionID]],tblApprovals[ApprovalID],tblTransactions[[#This Row],[ApprovalID]])=0),"R3 - Missing or Mismatched Approval Record", "")</f>
        <v/>
      </c>
      <c r="L9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1" t="str">
        <f>IF(AND(tblTransactions[[#This Row],[TransactionStatus]]="Success",COUNTIF(tblSettlement[TransactionID],tblTransactions[[#This Row],[TransactionID]])=0)," R5 - Successful Transaction Not Settled", "")</f>
        <v/>
      </c>
      <c r="N91" t="str">
        <f>IF(AND(COUNTIF(tblSettlement[TransactionID],tblTransactions[[#This Row],[TransactionID]])&gt;0,tblTransactions[[#This Row],[Amount]]&lt;&gt;SUMIF(tblSettlement[TransactionID],tblTransactions[[#This Row],[TransactionID]],tblSettlement[SettledAmount]))," R6 - Settlement Amount Mismatch", "")</f>
        <v/>
      </c>
      <c r="O91" t="str">
        <f>IF(AND(tblTransactions[[#This Row],[CustomerRef]] &lt;&gt;"",COUNTIFS(tblTransactions[CustomerRef],tblTransactions[[#This Row],[CustomerRef]],tblTransactions[Amount],tblTransactions[[#This Row],[Amount]],tblTransactions[Date],tblTransactions[[#This Row],[Date]])&gt;1),"Yes","No")</f>
        <v>No</v>
      </c>
    </row>
    <row r="92" spans="1:15" x14ac:dyDescent="0.3">
      <c r="A92" t="s">
        <v>284</v>
      </c>
      <c r="B92" s="2">
        <v>46255.62777777778</v>
      </c>
      <c r="C92" t="s">
        <v>9</v>
      </c>
      <c r="D92" t="s">
        <v>69</v>
      </c>
      <c r="E92" s="6">
        <v>43382.33</v>
      </c>
      <c r="F92" t="s">
        <v>11</v>
      </c>
      <c r="G92" t="s">
        <v>285</v>
      </c>
      <c r="H92" t="s">
        <v>286</v>
      </c>
      <c r="I92" s="116">
        <f>INT(tblTransactions[[#This Row],[TransactionDate]])</f>
        <v>46255</v>
      </c>
      <c r="J92" t="str">
        <f>IF(tblTransactions[[#This Row],[ApprovalID]]="", "R2 - Missing Approval Reference", "")</f>
        <v/>
      </c>
      <c r="K92" t="str">
        <f>IF(AND(tblTransactions[[#This Row],[ApprovalID]]&lt;&gt;"",COUNTIFS(tblApprovals[TransactionID],tblTransactions[[#This Row],[TransactionID]],tblApprovals[ApprovalID],tblTransactions[[#This Row],[ApprovalID]])=0),"R3 - Missing or Mismatched Approval Record", "")</f>
        <v>R3 - Missing or Mismatched Approval Record</v>
      </c>
      <c r="L9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2" t="str">
        <f>IF(AND(tblTransactions[[#This Row],[TransactionStatus]]="Success",COUNTIF(tblSettlement[TransactionID],tblTransactions[[#This Row],[TransactionID]])=0)," R5 - Successful Transaction Not Settled", "")</f>
        <v/>
      </c>
      <c r="N92" t="str">
        <f>IF(AND(COUNTIF(tblSettlement[TransactionID],tblTransactions[[#This Row],[TransactionID]])&gt;0,tblTransactions[[#This Row],[Amount]]&lt;&gt;SUMIF(tblSettlement[TransactionID],tblTransactions[[#This Row],[TransactionID]],tblSettlement[SettledAmount]))," R6 - Settlement Amount Mismatch", "")</f>
        <v/>
      </c>
      <c r="O92" t="str">
        <f>IF(AND(tblTransactions[[#This Row],[CustomerRef]] &lt;&gt;"",COUNTIFS(tblTransactions[CustomerRef],tblTransactions[[#This Row],[CustomerRef]],tblTransactions[Amount],tblTransactions[[#This Row],[Amount]],tblTransactions[Date],tblTransactions[[#This Row],[Date]])&gt;1),"Yes","No")</f>
        <v>No</v>
      </c>
    </row>
    <row r="93" spans="1:15" x14ac:dyDescent="0.3">
      <c r="A93" t="s">
        <v>287</v>
      </c>
      <c r="B93" s="2">
        <v>46214.463194444441</v>
      </c>
      <c r="C93" t="s">
        <v>19</v>
      </c>
      <c r="D93" t="s">
        <v>15</v>
      </c>
      <c r="E93" s="6">
        <v>41965.96</v>
      </c>
      <c r="F93" t="s">
        <v>11</v>
      </c>
      <c r="G93" t="s">
        <v>288</v>
      </c>
      <c r="H93" t="s">
        <v>289</v>
      </c>
      <c r="I93" s="116">
        <f>INT(tblTransactions[[#This Row],[TransactionDate]])</f>
        <v>46214</v>
      </c>
      <c r="J93" t="str">
        <f>IF(tblTransactions[[#This Row],[ApprovalID]]="", "R2 - Missing Approval Reference", "")</f>
        <v/>
      </c>
      <c r="K93" t="str">
        <f>IF(AND(tblTransactions[[#This Row],[ApprovalID]]&lt;&gt;"",COUNTIFS(tblApprovals[TransactionID],tblTransactions[[#This Row],[TransactionID]],tblApprovals[ApprovalID],tblTransactions[[#This Row],[ApprovalID]])=0),"R3 - Missing or Mismatched Approval Record", "")</f>
        <v/>
      </c>
      <c r="L9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3" t="str">
        <f>IF(AND(tblTransactions[[#This Row],[TransactionStatus]]="Success",COUNTIF(tblSettlement[TransactionID],tblTransactions[[#This Row],[TransactionID]])=0)," R5 - Successful Transaction Not Settled", "")</f>
        <v/>
      </c>
      <c r="N93" t="str">
        <f>IF(AND(COUNTIF(tblSettlement[TransactionID],tblTransactions[[#This Row],[TransactionID]])&gt;0,tblTransactions[[#This Row],[Amount]]&lt;&gt;SUMIF(tblSettlement[TransactionID],tblTransactions[[#This Row],[TransactionID]],tblSettlement[SettledAmount]))," R6 - Settlement Amount Mismatch", "")</f>
        <v/>
      </c>
      <c r="O93" t="str">
        <f>IF(AND(tblTransactions[[#This Row],[CustomerRef]] &lt;&gt;"",COUNTIFS(tblTransactions[CustomerRef],tblTransactions[[#This Row],[CustomerRef]],tblTransactions[Amount],tblTransactions[[#This Row],[Amount]],tblTransactions[Date],tblTransactions[[#This Row],[Date]])&gt;1),"Yes","No")</f>
        <v>No</v>
      </c>
    </row>
    <row r="94" spans="1:15" x14ac:dyDescent="0.3">
      <c r="A94" t="s">
        <v>290</v>
      </c>
      <c r="B94" s="2">
        <v>46252.665277777778</v>
      </c>
      <c r="C94" t="s">
        <v>43</v>
      </c>
      <c r="D94" t="s">
        <v>20</v>
      </c>
      <c r="E94" s="6">
        <v>33343.4</v>
      </c>
      <c r="F94" t="s">
        <v>11</v>
      </c>
      <c r="G94" t="s">
        <v>291</v>
      </c>
      <c r="H94" t="s">
        <v>292</v>
      </c>
      <c r="I94" s="116">
        <f>INT(tblTransactions[[#This Row],[TransactionDate]])</f>
        <v>46252</v>
      </c>
      <c r="J94" t="str">
        <f>IF(tblTransactions[[#This Row],[ApprovalID]]="", "R2 - Missing Approval Reference", "")</f>
        <v/>
      </c>
      <c r="K94" t="str">
        <f>IF(AND(tblTransactions[[#This Row],[ApprovalID]]&lt;&gt;"",COUNTIFS(tblApprovals[TransactionID],tblTransactions[[#This Row],[TransactionID]],tblApprovals[ApprovalID],tblTransactions[[#This Row],[ApprovalID]])=0),"R3 - Missing or Mismatched Approval Record", "")</f>
        <v/>
      </c>
      <c r="L9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4" t="str">
        <f>IF(AND(tblTransactions[[#This Row],[TransactionStatus]]="Success",COUNTIF(tblSettlement[TransactionID],tblTransactions[[#This Row],[TransactionID]])=0)," R5 - Successful Transaction Not Settled", "")</f>
        <v/>
      </c>
      <c r="N94" t="str">
        <f>IF(AND(COUNTIF(tblSettlement[TransactionID],tblTransactions[[#This Row],[TransactionID]])&gt;0,tblTransactions[[#This Row],[Amount]]&lt;&gt;SUMIF(tblSettlement[TransactionID],tblTransactions[[#This Row],[TransactionID]],tblSettlement[SettledAmount]))," R6 - Settlement Amount Mismatch", "")</f>
        <v/>
      </c>
      <c r="O94" t="str">
        <f>IF(AND(tblTransactions[[#This Row],[CustomerRef]] &lt;&gt;"",COUNTIFS(tblTransactions[CustomerRef],tblTransactions[[#This Row],[CustomerRef]],tblTransactions[Amount],tblTransactions[[#This Row],[Amount]],tblTransactions[Date],tblTransactions[[#This Row],[Date]])&gt;1),"Yes","No")</f>
        <v>No</v>
      </c>
    </row>
    <row r="95" spans="1:15" x14ac:dyDescent="0.3">
      <c r="A95" t="s">
        <v>293</v>
      </c>
      <c r="B95" s="2">
        <v>46282.79583333333</v>
      </c>
      <c r="C95" t="s">
        <v>9</v>
      </c>
      <c r="D95" t="s">
        <v>20</v>
      </c>
      <c r="E95" s="6">
        <v>71082.37</v>
      </c>
      <c r="F95" t="s">
        <v>11</v>
      </c>
      <c r="G95" t="s">
        <v>294</v>
      </c>
      <c r="H95" t="s">
        <v>295</v>
      </c>
      <c r="I95" s="116">
        <f>INT(tblTransactions[[#This Row],[TransactionDate]])</f>
        <v>46282</v>
      </c>
      <c r="J95" t="str">
        <f>IF(tblTransactions[[#This Row],[ApprovalID]]="", "R2 - Missing Approval Reference", "")</f>
        <v/>
      </c>
      <c r="K95" t="str">
        <f>IF(AND(tblTransactions[[#This Row],[ApprovalID]]&lt;&gt;"",COUNTIFS(tblApprovals[TransactionID],tblTransactions[[#This Row],[TransactionID]],tblApprovals[ApprovalID],tblTransactions[[#This Row],[ApprovalID]])=0),"R3 - Missing or Mismatched Approval Record", "")</f>
        <v/>
      </c>
      <c r="L9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5" t="str">
        <f>IF(AND(tblTransactions[[#This Row],[TransactionStatus]]="Success",COUNTIF(tblSettlement[TransactionID],tblTransactions[[#This Row],[TransactionID]])=0)," R5 - Successful Transaction Not Settled", "")</f>
        <v/>
      </c>
      <c r="N95" t="str">
        <f>IF(AND(COUNTIF(tblSettlement[TransactionID],tblTransactions[[#This Row],[TransactionID]])&gt;0,tblTransactions[[#This Row],[Amount]]&lt;&gt;SUMIF(tblSettlement[TransactionID],tblTransactions[[#This Row],[TransactionID]],tblSettlement[SettledAmount]))," R6 - Settlement Amount Mismatch", "")</f>
        <v/>
      </c>
      <c r="O95" t="str">
        <f>IF(AND(tblTransactions[[#This Row],[CustomerRef]] &lt;&gt;"",COUNTIFS(tblTransactions[CustomerRef],tblTransactions[[#This Row],[CustomerRef]],tblTransactions[Amount],tblTransactions[[#This Row],[Amount]],tblTransactions[Date],tblTransactions[[#This Row],[Date]])&gt;1),"Yes","No")</f>
        <v>No</v>
      </c>
    </row>
    <row r="96" spans="1:15" x14ac:dyDescent="0.3">
      <c r="A96" t="s">
        <v>296</v>
      </c>
      <c r="B96" s="2">
        <v>46234.440972222219</v>
      </c>
      <c r="C96" t="s">
        <v>43</v>
      </c>
      <c r="D96" t="s">
        <v>15</v>
      </c>
      <c r="E96" s="6">
        <v>5861.1</v>
      </c>
      <c r="F96" t="s">
        <v>11</v>
      </c>
      <c r="G96" t="s">
        <v>297</v>
      </c>
      <c r="H96" t="s">
        <v>298</v>
      </c>
      <c r="I96" s="116">
        <f>INT(tblTransactions[[#This Row],[TransactionDate]])</f>
        <v>46234</v>
      </c>
      <c r="J96" t="str">
        <f>IF(tblTransactions[[#This Row],[ApprovalID]]="", "R2 - Missing Approval Reference", "")</f>
        <v/>
      </c>
      <c r="K96" t="str">
        <f>IF(AND(tblTransactions[[#This Row],[ApprovalID]]&lt;&gt;"",COUNTIFS(tblApprovals[TransactionID],tblTransactions[[#This Row],[TransactionID]],tblApprovals[ApprovalID],tblTransactions[[#This Row],[ApprovalID]])=0),"R3 - Missing or Mismatched Approval Record", "")</f>
        <v/>
      </c>
      <c r="L9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6" t="str">
        <f>IF(AND(tblTransactions[[#This Row],[TransactionStatus]]="Success",COUNTIF(tblSettlement[TransactionID],tblTransactions[[#This Row],[TransactionID]])=0)," R5 - Successful Transaction Not Settled", "")</f>
        <v/>
      </c>
      <c r="N96" t="str">
        <f>IF(AND(COUNTIF(tblSettlement[TransactionID],tblTransactions[[#This Row],[TransactionID]])&gt;0,tblTransactions[[#This Row],[Amount]]&lt;&gt;SUMIF(tblSettlement[TransactionID],tblTransactions[[#This Row],[TransactionID]],tblSettlement[SettledAmount]))," R6 - Settlement Amount Mismatch", "")</f>
        <v/>
      </c>
      <c r="O96" t="str">
        <f>IF(AND(tblTransactions[[#This Row],[CustomerRef]] &lt;&gt;"",COUNTIFS(tblTransactions[CustomerRef],tblTransactions[[#This Row],[CustomerRef]],tblTransactions[Amount],tblTransactions[[#This Row],[Amount]],tblTransactions[Date],tblTransactions[[#This Row],[Date]])&gt;1),"Yes","No")</f>
        <v>No</v>
      </c>
    </row>
    <row r="97" spans="1:15" x14ac:dyDescent="0.3">
      <c r="A97" t="s">
        <v>299</v>
      </c>
      <c r="B97" s="2">
        <v>46233.53125</v>
      </c>
      <c r="C97" t="s">
        <v>47</v>
      </c>
      <c r="D97" t="s">
        <v>69</v>
      </c>
      <c r="E97" s="6">
        <v>21383.200000000001</v>
      </c>
      <c r="F97" t="s">
        <v>11</v>
      </c>
      <c r="G97" t="s">
        <v>300</v>
      </c>
      <c r="H97" t="s">
        <v>301</v>
      </c>
      <c r="I97" s="116">
        <f>INT(tblTransactions[[#This Row],[TransactionDate]])</f>
        <v>46233</v>
      </c>
      <c r="J97" t="str">
        <f>IF(tblTransactions[[#This Row],[ApprovalID]]="", "R2 - Missing Approval Reference", "")</f>
        <v/>
      </c>
      <c r="K97" t="str">
        <f>IF(AND(tblTransactions[[#This Row],[ApprovalID]]&lt;&gt;"",COUNTIFS(tblApprovals[TransactionID],tblTransactions[[#This Row],[TransactionID]],tblApprovals[ApprovalID],tblTransactions[[#This Row],[ApprovalID]])=0),"R3 - Missing or Mismatched Approval Record", "")</f>
        <v/>
      </c>
      <c r="L9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7" t="str">
        <f>IF(AND(tblTransactions[[#This Row],[TransactionStatus]]="Success",COUNTIF(tblSettlement[TransactionID],tblTransactions[[#This Row],[TransactionID]])=0)," R5 - Successful Transaction Not Settled", "")</f>
        <v/>
      </c>
      <c r="N97" t="str">
        <f>IF(AND(COUNTIF(tblSettlement[TransactionID],tblTransactions[[#This Row],[TransactionID]])&gt;0,tblTransactions[[#This Row],[Amount]]&lt;&gt;SUMIF(tblSettlement[TransactionID],tblTransactions[[#This Row],[TransactionID]],tblSettlement[SettledAmount]))," R6 - Settlement Amount Mismatch", "")</f>
        <v/>
      </c>
      <c r="O97" t="str">
        <f>IF(AND(tblTransactions[[#This Row],[CustomerRef]] &lt;&gt;"",COUNTIFS(tblTransactions[CustomerRef],tblTransactions[[#This Row],[CustomerRef]],tblTransactions[Amount],tblTransactions[[#This Row],[Amount]],tblTransactions[Date],tblTransactions[[#This Row],[Date]])&gt;1),"Yes","No")</f>
        <v>No</v>
      </c>
    </row>
    <row r="98" spans="1:15" x14ac:dyDescent="0.3">
      <c r="A98" t="s">
        <v>302</v>
      </c>
      <c r="B98" s="2">
        <v>46258.398611111108</v>
      </c>
      <c r="C98" t="s">
        <v>24</v>
      </c>
      <c r="D98" t="s">
        <v>69</v>
      </c>
      <c r="E98" s="6">
        <v>17054.509999999998</v>
      </c>
      <c r="F98" t="s">
        <v>11</v>
      </c>
      <c r="H98" t="s">
        <v>303</v>
      </c>
      <c r="I98" s="116">
        <f>INT(tblTransactions[[#This Row],[TransactionDate]])</f>
        <v>46258</v>
      </c>
      <c r="J98" t="str">
        <f>IF(tblTransactions[[#This Row],[ApprovalID]]="", "R2 - Missing Approval Reference", "")</f>
        <v>R2 - Missing Approval Reference</v>
      </c>
      <c r="K98" t="str">
        <f>IF(AND(tblTransactions[[#This Row],[ApprovalID]]&lt;&gt;"",COUNTIFS(tblApprovals[TransactionID],tblTransactions[[#This Row],[TransactionID]],tblApprovals[ApprovalID],tblTransactions[[#This Row],[ApprovalID]])=0),"R3 - Missing or Mismatched Approval Record", "")</f>
        <v/>
      </c>
      <c r="L9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8" t="str">
        <f>IF(AND(tblTransactions[[#This Row],[TransactionStatus]]="Success",COUNTIF(tblSettlement[TransactionID],tblTransactions[[#This Row],[TransactionID]])=0)," R5 - Successful Transaction Not Settled", "")</f>
        <v/>
      </c>
      <c r="N98" t="str">
        <f>IF(AND(COUNTIF(tblSettlement[TransactionID],tblTransactions[[#This Row],[TransactionID]])&gt;0,tblTransactions[[#This Row],[Amount]]&lt;&gt;SUMIF(tblSettlement[TransactionID],tblTransactions[[#This Row],[TransactionID]],tblSettlement[SettledAmount]))," R6 - Settlement Amount Mismatch", "")</f>
        <v/>
      </c>
      <c r="O98" t="str">
        <f>IF(AND(tblTransactions[[#This Row],[CustomerRef]] &lt;&gt;"",COUNTIFS(tblTransactions[CustomerRef],tblTransactions[[#This Row],[CustomerRef]],tblTransactions[Amount],tblTransactions[[#This Row],[Amount]],tblTransactions[Date],tblTransactions[[#This Row],[Date]])&gt;1),"Yes","No")</f>
        <v>No</v>
      </c>
    </row>
    <row r="99" spans="1:15" x14ac:dyDescent="0.3">
      <c r="A99" t="s">
        <v>304</v>
      </c>
      <c r="B99" s="2">
        <v>46243.740972222222</v>
      </c>
      <c r="C99" t="s">
        <v>43</v>
      </c>
      <c r="D99" t="s">
        <v>10</v>
      </c>
      <c r="E99" s="6">
        <v>61861.96</v>
      </c>
      <c r="F99" t="s">
        <v>111</v>
      </c>
      <c r="G99" t="s">
        <v>305</v>
      </c>
      <c r="H99" t="s">
        <v>306</v>
      </c>
      <c r="I99" s="116">
        <f>INT(tblTransactions[[#This Row],[TransactionDate]])</f>
        <v>46243</v>
      </c>
      <c r="J99" t="str">
        <f>IF(tblTransactions[[#This Row],[ApprovalID]]="", "R2 - Missing Approval Reference", "")</f>
        <v/>
      </c>
      <c r="K99" t="str">
        <f>IF(AND(tblTransactions[[#This Row],[ApprovalID]]&lt;&gt;"",COUNTIFS(tblApprovals[TransactionID],tblTransactions[[#This Row],[TransactionID]],tblApprovals[ApprovalID],tblTransactions[[#This Row],[ApprovalID]])=0),"R3 - Missing or Mismatched Approval Record", "")</f>
        <v/>
      </c>
      <c r="L9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99" t="str">
        <f>IF(AND(tblTransactions[[#This Row],[TransactionStatus]]="Success",COUNTIF(tblSettlement[TransactionID],tblTransactions[[#This Row],[TransactionID]])=0)," R5 - Successful Transaction Not Settled", "")</f>
        <v/>
      </c>
      <c r="N99" t="str">
        <f>IF(AND(COUNTIF(tblSettlement[TransactionID],tblTransactions[[#This Row],[TransactionID]])&gt;0,tblTransactions[[#This Row],[Amount]]&lt;&gt;SUMIF(tblSettlement[TransactionID],tblTransactions[[#This Row],[TransactionID]],tblSettlement[SettledAmount]))," R6 - Settlement Amount Mismatch", "")</f>
        <v/>
      </c>
      <c r="O99" t="str">
        <f>IF(AND(tblTransactions[[#This Row],[CustomerRef]] &lt;&gt;"",COUNTIFS(tblTransactions[CustomerRef],tblTransactions[[#This Row],[CustomerRef]],tblTransactions[Amount],tblTransactions[[#This Row],[Amount]],tblTransactions[Date],tblTransactions[[#This Row],[Date]])&gt;1),"Yes","No")</f>
        <v>No</v>
      </c>
    </row>
    <row r="100" spans="1:15" x14ac:dyDescent="0.3">
      <c r="A100" t="s">
        <v>307</v>
      </c>
      <c r="B100" s="2">
        <v>46293.595138888886</v>
      </c>
      <c r="C100" t="s">
        <v>47</v>
      </c>
      <c r="D100" t="s">
        <v>15</v>
      </c>
      <c r="E100" s="6">
        <v>37660.300000000003</v>
      </c>
      <c r="F100" t="s">
        <v>11</v>
      </c>
      <c r="H100" t="s">
        <v>308</v>
      </c>
      <c r="I100" s="116">
        <f>INT(tblTransactions[[#This Row],[TransactionDate]])</f>
        <v>46293</v>
      </c>
      <c r="J100" t="str">
        <f>IF(tblTransactions[[#This Row],[ApprovalID]]="", "R2 - Missing Approval Reference", "")</f>
        <v>R2 - Missing Approval Reference</v>
      </c>
      <c r="K100" t="str">
        <f>IF(AND(tblTransactions[[#This Row],[ApprovalID]]&lt;&gt;"",COUNTIFS(tblApprovals[TransactionID],tblTransactions[[#This Row],[TransactionID]],tblApprovals[ApprovalID],tblTransactions[[#This Row],[ApprovalID]])=0),"R3 - Missing or Mismatched Approval Record", "")</f>
        <v/>
      </c>
      <c r="L10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0" t="str">
        <f>IF(AND(tblTransactions[[#This Row],[TransactionStatus]]="Success",COUNTIF(tblSettlement[TransactionID],tblTransactions[[#This Row],[TransactionID]])=0)," R5 - Successful Transaction Not Settled", "")</f>
        <v/>
      </c>
      <c r="N100" t="str">
        <f>IF(AND(COUNTIF(tblSettlement[TransactionID],tblTransactions[[#This Row],[TransactionID]])&gt;0,tblTransactions[[#This Row],[Amount]]&lt;&gt;SUMIF(tblSettlement[TransactionID],tblTransactions[[#This Row],[TransactionID]],tblSettlement[SettledAmount]))," R6 - Settlement Amount Mismatch", "")</f>
        <v/>
      </c>
      <c r="O100" t="str">
        <f>IF(AND(tblTransactions[[#This Row],[CustomerRef]] &lt;&gt;"",COUNTIFS(tblTransactions[CustomerRef],tblTransactions[[#This Row],[CustomerRef]],tblTransactions[Amount],tblTransactions[[#This Row],[Amount]],tblTransactions[Date],tblTransactions[[#This Row],[Date]])&gt;1),"Yes","No")</f>
        <v>No</v>
      </c>
    </row>
    <row r="101" spans="1:15" x14ac:dyDescent="0.3">
      <c r="A101" t="s">
        <v>309</v>
      </c>
      <c r="B101" s="2">
        <v>46245.719444444447</v>
      </c>
      <c r="C101" t="s">
        <v>28</v>
      </c>
      <c r="D101" t="s">
        <v>15</v>
      </c>
      <c r="E101" s="6">
        <v>2183.4</v>
      </c>
      <c r="F101" t="s">
        <v>11</v>
      </c>
      <c r="G101" t="s">
        <v>310</v>
      </c>
      <c r="H101" t="s">
        <v>311</v>
      </c>
      <c r="I101" s="116">
        <f>INT(tblTransactions[[#This Row],[TransactionDate]])</f>
        <v>46245</v>
      </c>
      <c r="J101" t="str">
        <f>IF(tblTransactions[[#This Row],[ApprovalID]]="", "R2 - Missing Approval Reference", "")</f>
        <v/>
      </c>
      <c r="K101" t="str">
        <f>IF(AND(tblTransactions[[#This Row],[ApprovalID]]&lt;&gt;"",COUNTIFS(tblApprovals[TransactionID],tblTransactions[[#This Row],[TransactionID]],tblApprovals[ApprovalID],tblTransactions[[#This Row],[ApprovalID]])=0),"R3 - Missing or Mismatched Approval Record", "")</f>
        <v/>
      </c>
      <c r="L10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1" t="str">
        <f>IF(AND(tblTransactions[[#This Row],[TransactionStatus]]="Success",COUNTIF(tblSettlement[TransactionID],tblTransactions[[#This Row],[TransactionID]])=0)," R5 - Successful Transaction Not Settled", "")</f>
        <v/>
      </c>
      <c r="N101" t="str">
        <f>IF(AND(COUNTIF(tblSettlement[TransactionID],tblTransactions[[#This Row],[TransactionID]])&gt;0,tblTransactions[[#This Row],[Amount]]&lt;&gt;SUMIF(tblSettlement[TransactionID],tblTransactions[[#This Row],[TransactionID]],tblSettlement[SettledAmount]))," R6 - Settlement Amount Mismatch", "")</f>
        <v/>
      </c>
      <c r="O101" t="str">
        <f>IF(AND(tblTransactions[[#This Row],[CustomerRef]] &lt;&gt;"",COUNTIFS(tblTransactions[CustomerRef],tblTransactions[[#This Row],[CustomerRef]],tblTransactions[Amount],tblTransactions[[#This Row],[Amount]],tblTransactions[Date],tblTransactions[[#This Row],[Date]])&gt;1),"Yes","No")</f>
        <v>No</v>
      </c>
    </row>
    <row r="102" spans="1:15" x14ac:dyDescent="0.3">
      <c r="A102" t="s">
        <v>312</v>
      </c>
      <c r="B102" s="2">
        <v>46290.886805555558</v>
      </c>
      <c r="C102" t="s">
        <v>9</v>
      </c>
      <c r="D102" t="s">
        <v>29</v>
      </c>
      <c r="E102" s="6">
        <v>43324.46</v>
      </c>
      <c r="F102" t="s">
        <v>11</v>
      </c>
      <c r="G102" t="s">
        <v>313</v>
      </c>
      <c r="H102" t="s">
        <v>314</v>
      </c>
      <c r="I102" s="116">
        <f>INT(tblTransactions[[#This Row],[TransactionDate]])</f>
        <v>46290</v>
      </c>
      <c r="J102" t="str">
        <f>IF(tblTransactions[[#This Row],[ApprovalID]]="", "R2 - Missing Approval Reference", "")</f>
        <v/>
      </c>
      <c r="K102" t="str">
        <f>IF(AND(tblTransactions[[#This Row],[ApprovalID]]&lt;&gt;"",COUNTIFS(tblApprovals[TransactionID],tblTransactions[[#This Row],[TransactionID]],tblApprovals[ApprovalID],tblTransactions[[#This Row],[ApprovalID]])=0),"R3 - Missing or Mismatched Approval Record", "")</f>
        <v/>
      </c>
      <c r="L10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2" t="str">
        <f>IF(AND(tblTransactions[[#This Row],[TransactionStatus]]="Success",COUNTIF(tblSettlement[TransactionID],tblTransactions[[#This Row],[TransactionID]])=0)," R5 - Successful Transaction Not Settled", "")</f>
        <v/>
      </c>
      <c r="N102" t="str">
        <f>IF(AND(COUNTIF(tblSettlement[TransactionID],tblTransactions[[#This Row],[TransactionID]])&gt;0,tblTransactions[[#This Row],[Amount]]&lt;&gt;SUMIF(tblSettlement[TransactionID],tblTransactions[[#This Row],[TransactionID]],tblSettlement[SettledAmount]))," R6 - Settlement Amount Mismatch", "")</f>
        <v/>
      </c>
      <c r="O102" t="str">
        <f>IF(AND(tblTransactions[[#This Row],[CustomerRef]] &lt;&gt;"",COUNTIFS(tblTransactions[CustomerRef],tblTransactions[[#This Row],[CustomerRef]],tblTransactions[Amount],tblTransactions[[#This Row],[Amount]],tblTransactions[Date],tblTransactions[[#This Row],[Date]])&gt;1),"Yes","No")</f>
        <v>No</v>
      </c>
    </row>
    <row r="103" spans="1:15" x14ac:dyDescent="0.3">
      <c r="A103" t="s">
        <v>315</v>
      </c>
      <c r="B103" s="2">
        <v>46239.442361111112</v>
      </c>
      <c r="C103" t="s">
        <v>47</v>
      </c>
      <c r="D103" t="s">
        <v>29</v>
      </c>
      <c r="E103" s="6">
        <v>32832.400000000001</v>
      </c>
      <c r="F103" t="s">
        <v>11</v>
      </c>
      <c r="G103" t="s">
        <v>316</v>
      </c>
      <c r="H103" t="s">
        <v>317</v>
      </c>
      <c r="I103" s="116">
        <f>INT(tblTransactions[[#This Row],[TransactionDate]])</f>
        <v>46239</v>
      </c>
      <c r="J103" t="str">
        <f>IF(tblTransactions[[#This Row],[ApprovalID]]="", "R2 - Missing Approval Reference", "")</f>
        <v/>
      </c>
      <c r="K103" t="str">
        <f>IF(AND(tblTransactions[[#This Row],[ApprovalID]]&lt;&gt;"",COUNTIFS(tblApprovals[TransactionID],tblTransactions[[#This Row],[TransactionID]],tblApprovals[ApprovalID],tblTransactions[[#This Row],[ApprovalID]])=0),"R3 - Missing or Mismatched Approval Record", "")</f>
        <v/>
      </c>
      <c r="L10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3" t="str">
        <f>IF(AND(tblTransactions[[#This Row],[TransactionStatus]]="Success",COUNTIF(tblSettlement[TransactionID],tblTransactions[[#This Row],[TransactionID]])=0)," R5 - Successful Transaction Not Settled", "")</f>
        <v/>
      </c>
      <c r="N103" t="str">
        <f>IF(AND(COUNTIF(tblSettlement[TransactionID],tblTransactions[[#This Row],[TransactionID]])&gt;0,tblTransactions[[#This Row],[Amount]]&lt;&gt;SUMIF(tblSettlement[TransactionID],tblTransactions[[#This Row],[TransactionID]],tblSettlement[SettledAmount]))," R6 - Settlement Amount Mismatch", "")</f>
        <v/>
      </c>
      <c r="O103" t="str">
        <f>IF(AND(tblTransactions[[#This Row],[CustomerRef]] &lt;&gt;"",COUNTIFS(tblTransactions[CustomerRef],tblTransactions[[#This Row],[CustomerRef]],tblTransactions[Amount],tblTransactions[[#This Row],[Amount]],tblTransactions[Date],tblTransactions[[#This Row],[Date]])&gt;1),"Yes","No")</f>
        <v>No</v>
      </c>
    </row>
    <row r="104" spans="1:15" x14ac:dyDescent="0.3">
      <c r="A104" t="s">
        <v>318</v>
      </c>
      <c r="B104" s="2">
        <v>46245.754166666666</v>
      </c>
      <c r="C104" t="s">
        <v>28</v>
      </c>
      <c r="D104" t="s">
        <v>29</v>
      </c>
      <c r="E104" s="6">
        <v>64365.55</v>
      </c>
      <c r="F104" t="s">
        <v>11</v>
      </c>
      <c r="G104" t="s">
        <v>319</v>
      </c>
      <c r="H104" t="s">
        <v>320</v>
      </c>
      <c r="I104" s="116">
        <f>INT(tblTransactions[[#This Row],[TransactionDate]])</f>
        <v>46245</v>
      </c>
      <c r="J104" t="str">
        <f>IF(tblTransactions[[#This Row],[ApprovalID]]="", "R2 - Missing Approval Reference", "")</f>
        <v/>
      </c>
      <c r="K104" t="str">
        <f>IF(AND(tblTransactions[[#This Row],[ApprovalID]]&lt;&gt;"",COUNTIFS(tblApprovals[TransactionID],tblTransactions[[#This Row],[TransactionID]],tblApprovals[ApprovalID],tblTransactions[[#This Row],[ApprovalID]])=0),"R3 - Missing or Mismatched Approval Record", "")</f>
        <v/>
      </c>
      <c r="L10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4" t="str">
        <f>IF(AND(tblTransactions[[#This Row],[TransactionStatus]]="Success",COUNTIF(tblSettlement[TransactionID],tblTransactions[[#This Row],[TransactionID]])=0)," R5 - Successful Transaction Not Settled", "")</f>
        <v/>
      </c>
      <c r="N104" t="str">
        <f>IF(AND(COUNTIF(tblSettlement[TransactionID],tblTransactions[[#This Row],[TransactionID]])&gt;0,tblTransactions[[#This Row],[Amount]]&lt;&gt;SUMIF(tblSettlement[TransactionID],tblTransactions[[#This Row],[TransactionID]],tblSettlement[SettledAmount]))," R6 - Settlement Amount Mismatch", "")</f>
        <v/>
      </c>
      <c r="O104" t="str">
        <f>IF(AND(tblTransactions[[#This Row],[CustomerRef]] &lt;&gt;"",COUNTIFS(tblTransactions[CustomerRef],tblTransactions[[#This Row],[CustomerRef]],tblTransactions[Amount],tblTransactions[[#This Row],[Amount]],tblTransactions[Date],tblTransactions[[#This Row],[Date]])&gt;1),"Yes","No")</f>
        <v>No</v>
      </c>
    </row>
    <row r="105" spans="1:15" x14ac:dyDescent="0.3">
      <c r="A105" t="s">
        <v>321</v>
      </c>
      <c r="B105" s="2">
        <v>46274.353472222225</v>
      </c>
      <c r="C105" t="s">
        <v>47</v>
      </c>
      <c r="D105" t="s">
        <v>29</v>
      </c>
      <c r="E105" s="6">
        <v>6832.47</v>
      </c>
      <c r="F105" t="s">
        <v>11</v>
      </c>
      <c r="G105" t="s">
        <v>322</v>
      </c>
      <c r="H105" t="s">
        <v>323</v>
      </c>
      <c r="I105" s="116">
        <f>INT(tblTransactions[[#This Row],[TransactionDate]])</f>
        <v>46274</v>
      </c>
      <c r="J105" t="str">
        <f>IF(tblTransactions[[#This Row],[ApprovalID]]="", "R2 - Missing Approval Reference", "")</f>
        <v/>
      </c>
      <c r="K105" t="str">
        <f>IF(AND(tblTransactions[[#This Row],[ApprovalID]]&lt;&gt;"",COUNTIFS(tblApprovals[TransactionID],tblTransactions[[#This Row],[TransactionID]],tblApprovals[ApprovalID],tblTransactions[[#This Row],[ApprovalID]])=0),"R3 - Missing or Mismatched Approval Record", "")</f>
        <v/>
      </c>
      <c r="L10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5" t="str">
        <f>IF(AND(tblTransactions[[#This Row],[TransactionStatus]]="Success",COUNTIF(tblSettlement[TransactionID],tblTransactions[[#This Row],[TransactionID]])=0)," R5 - Successful Transaction Not Settled", "")</f>
        <v/>
      </c>
      <c r="N105" t="str">
        <f>IF(AND(COUNTIF(tblSettlement[TransactionID],tblTransactions[[#This Row],[TransactionID]])&gt;0,tblTransactions[[#This Row],[Amount]]&lt;&gt;SUMIF(tblSettlement[TransactionID],tblTransactions[[#This Row],[TransactionID]],tblSettlement[SettledAmount]))," R6 - Settlement Amount Mismatch", "")</f>
        <v/>
      </c>
      <c r="O105" t="str">
        <f>IF(AND(tblTransactions[[#This Row],[CustomerRef]] &lt;&gt;"",COUNTIFS(tblTransactions[CustomerRef],tblTransactions[[#This Row],[CustomerRef]],tblTransactions[Amount],tblTransactions[[#This Row],[Amount]],tblTransactions[Date],tblTransactions[[#This Row],[Date]])&gt;1),"Yes","No")</f>
        <v>No</v>
      </c>
    </row>
    <row r="106" spans="1:15" x14ac:dyDescent="0.3">
      <c r="A106" t="s">
        <v>324</v>
      </c>
      <c r="B106" s="2">
        <v>46288.898611111108</v>
      </c>
      <c r="C106" t="s">
        <v>19</v>
      </c>
      <c r="D106" t="s">
        <v>20</v>
      </c>
      <c r="E106" s="6">
        <v>34782.730000000003</v>
      </c>
      <c r="F106" t="s">
        <v>11</v>
      </c>
      <c r="G106" t="s">
        <v>325</v>
      </c>
      <c r="H106" t="s">
        <v>326</v>
      </c>
      <c r="I106" s="116">
        <f>INT(tblTransactions[[#This Row],[TransactionDate]])</f>
        <v>46288</v>
      </c>
      <c r="J106" t="str">
        <f>IF(tblTransactions[[#This Row],[ApprovalID]]="", "R2 - Missing Approval Reference", "")</f>
        <v/>
      </c>
      <c r="K106" t="str">
        <f>IF(AND(tblTransactions[[#This Row],[ApprovalID]]&lt;&gt;"",COUNTIFS(tblApprovals[TransactionID],tblTransactions[[#This Row],[TransactionID]],tblApprovals[ApprovalID],tblTransactions[[#This Row],[ApprovalID]])=0),"R3 - Missing or Mismatched Approval Record", "")</f>
        <v/>
      </c>
      <c r="L10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6" t="str">
        <f>IF(AND(tblTransactions[[#This Row],[TransactionStatus]]="Success",COUNTIF(tblSettlement[TransactionID],tblTransactions[[#This Row],[TransactionID]])=0)," R5 - Successful Transaction Not Settled", "")</f>
        <v/>
      </c>
      <c r="N106" t="str">
        <f>IF(AND(COUNTIF(tblSettlement[TransactionID],tblTransactions[[#This Row],[TransactionID]])&gt;0,tblTransactions[[#This Row],[Amount]]&lt;&gt;SUMIF(tblSettlement[TransactionID],tblTransactions[[#This Row],[TransactionID]],tblSettlement[SettledAmount]))," R6 - Settlement Amount Mismatch", "")</f>
        <v/>
      </c>
      <c r="O106" t="str">
        <f>IF(AND(tblTransactions[[#This Row],[CustomerRef]] &lt;&gt;"",COUNTIFS(tblTransactions[CustomerRef],tblTransactions[[#This Row],[CustomerRef]],tblTransactions[Amount],tblTransactions[[#This Row],[Amount]],tblTransactions[Date],tblTransactions[[#This Row],[Date]])&gt;1),"Yes","No")</f>
        <v>No</v>
      </c>
    </row>
    <row r="107" spans="1:15" x14ac:dyDescent="0.3">
      <c r="A107" t="s">
        <v>327</v>
      </c>
      <c r="B107" s="2">
        <v>46284.658333333333</v>
      </c>
      <c r="C107" t="s">
        <v>9</v>
      </c>
      <c r="D107" t="s">
        <v>20</v>
      </c>
      <c r="E107" s="6">
        <v>4107.9799999999996</v>
      </c>
      <c r="F107" t="s">
        <v>11</v>
      </c>
      <c r="G107" t="s">
        <v>328</v>
      </c>
      <c r="H107" t="s">
        <v>329</v>
      </c>
      <c r="I107" s="116">
        <f>INT(tblTransactions[[#This Row],[TransactionDate]])</f>
        <v>46284</v>
      </c>
      <c r="J107" t="str">
        <f>IF(tblTransactions[[#This Row],[ApprovalID]]="", "R2 - Missing Approval Reference", "")</f>
        <v/>
      </c>
      <c r="K107" t="str">
        <f>IF(AND(tblTransactions[[#This Row],[ApprovalID]]&lt;&gt;"",COUNTIFS(tblApprovals[TransactionID],tblTransactions[[#This Row],[TransactionID]],tblApprovals[ApprovalID],tblTransactions[[#This Row],[ApprovalID]])=0),"R3 - Missing or Mismatched Approval Record", "")</f>
        <v/>
      </c>
      <c r="L10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7" t="str">
        <f>IF(AND(tblTransactions[[#This Row],[TransactionStatus]]="Success",COUNTIF(tblSettlement[TransactionID],tblTransactions[[#This Row],[TransactionID]])=0)," R5 - Successful Transaction Not Settled", "")</f>
        <v/>
      </c>
      <c r="N107" t="str">
        <f>IF(AND(COUNTIF(tblSettlement[TransactionID],tblTransactions[[#This Row],[TransactionID]])&gt;0,tblTransactions[[#This Row],[Amount]]&lt;&gt;SUMIF(tblSettlement[TransactionID],tblTransactions[[#This Row],[TransactionID]],tblSettlement[SettledAmount]))," R6 - Settlement Amount Mismatch", "")</f>
        <v/>
      </c>
      <c r="O107" t="str">
        <f>IF(AND(tblTransactions[[#This Row],[CustomerRef]] &lt;&gt;"",COUNTIFS(tblTransactions[CustomerRef],tblTransactions[[#This Row],[CustomerRef]],tblTransactions[Amount],tblTransactions[[#This Row],[Amount]],tblTransactions[Date],tblTransactions[[#This Row],[Date]])&gt;1),"Yes","No")</f>
        <v>No</v>
      </c>
    </row>
    <row r="108" spans="1:15" x14ac:dyDescent="0.3">
      <c r="A108" t="s">
        <v>330</v>
      </c>
      <c r="B108" s="2">
        <v>46219.361111111109</v>
      </c>
      <c r="C108" t="s">
        <v>9</v>
      </c>
      <c r="D108" t="s">
        <v>20</v>
      </c>
      <c r="E108" s="6">
        <v>45763.16</v>
      </c>
      <c r="F108" t="s">
        <v>11</v>
      </c>
      <c r="G108" t="s">
        <v>331</v>
      </c>
      <c r="H108" t="s">
        <v>332</v>
      </c>
      <c r="I108" s="116">
        <f>INT(tblTransactions[[#This Row],[TransactionDate]])</f>
        <v>46219</v>
      </c>
      <c r="J108" t="str">
        <f>IF(tblTransactions[[#This Row],[ApprovalID]]="", "R2 - Missing Approval Reference", "")</f>
        <v/>
      </c>
      <c r="K108" t="str">
        <f>IF(AND(tblTransactions[[#This Row],[ApprovalID]]&lt;&gt;"",COUNTIFS(tblApprovals[TransactionID],tblTransactions[[#This Row],[TransactionID]],tblApprovals[ApprovalID],tblTransactions[[#This Row],[ApprovalID]])=0),"R3 - Missing or Mismatched Approval Record", "")</f>
        <v/>
      </c>
      <c r="L10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8" t="str">
        <f>IF(AND(tblTransactions[[#This Row],[TransactionStatus]]="Success",COUNTIF(tblSettlement[TransactionID],tblTransactions[[#This Row],[TransactionID]])=0)," R5 - Successful Transaction Not Settled", "")</f>
        <v/>
      </c>
      <c r="N108" t="str">
        <f>IF(AND(COUNTIF(tblSettlement[TransactionID],tblTransactions[[#This Row],[TransactionID]])&gt;0,tblTransactions[[#This Row],[Amount]]&lt;&gt;SUMIF(tblSettlement[TransactionID],tblTransactions[[#This Row],[TransactionID]],tblSettlement[SettledAmount]))," R6 - Settlement Amount Mismatch", "")</f>
        <v/>
      </c>
      <c r="O108" t="str">
        <f>IF(AND(tblTransactions[[#This Row],[CustomerRef]] &lt;&gt;"",COUNTIFS(tblTransactions[CustomerRef],tblTransactions[[#This Row],[CustomerRef]],tblTransactions[Amount],tblTransactions[[#This Row],[Amount]],tblTransactions[Date],tblTransactions[[#This Row],[Date]])&gt;1),"Yes","No")</f>
        <v>No</v>
      </c>
    </row>
    <row r="109" spans="1:15" x14ac:dyDescent="0.3">
      <c r="A109" t="s">
        <v>333</v>
      </c>
      <c r="B109" s="2">
        <v>46215.495138888888</v>
      </c>
      <c r="C109" t="s">
        <v>47</v>
      </c>
      <c r="D109" t="s">
        <v>69</v>
      </c>
      <c r="E109" s="6">
        <v>68491.509999999995</v>
      </c>
      <c r="F109" t="s">
        <v>11</v>
      </c>
      <c r="G109" t="s">
        <v>334</v>
      </c>
      <c r="H109" t="s">
        <v>335</v>
      </c>
      <c r="I109" s="116">
        <f>INT(tblTransactions[[#This Row],[TransactionDate]])</f>
        <v>46215</v>
      </c>
      <c r="J109" t="str">
        <f>IF(tblTransactions[[#This Row],[ApprovalID]]="", "R2 - Missing Approval Reference", "")</f>
        <v/>
      </c>
      <c r="K109" t="str">
        <f>IF(AND(tblTransactions[[#This Row],[ApprovalID]]&lt;&gt;"",COUNTIFS(tblApprovals[TransactionID],tblTransactions[[#This Row],[TransactionID]],tblApprovals[ApprovalID],tblTransactions[[#This Row],[ApprovalID]])=0),"R3 - Missing or Mismatched Approval Record", "")</f>
        <v/>
      </c>
      <c r="L10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09" t="str">
        <f>IF(AND(tblTransactions[[#This Row],[TransactionStatus]]="Success",COUNTIF(tblSettlement[TransactionID],tblTransactions[[#This Row],[TransactionID]])=0)," R5 - Successful Transaction Not Settled", "")</f>
        <v/>
      </c>
      <c r="N109" t="str">
        <f>IF(AND(COUNTIF(tblSettlement[TransactionID],tblTransactions[[#This Row],[TransactionID]])&gt;0,tblTransactions[[#This Row],[Amount]]&lt;&gt;SUMIF(tblSettlement[TransactionID],tblTransactions[[#This Row],[TransactionID]],tblSettlement[SettledAmount]))," R6 - Settlement Amount Mismatch", "")</f>
        <v/>
      </c>
      <c r="O109" t="str">
        <f>IF(AND(tblTransactions[[#This Row],[CustomerRef]] &lt;&gt;"",COUNTIFS(tblTransactions[CustomerRef],tblTransactions[[#This Row],[CustomerRef]],tblTransactions[Amount],tblTransactions[[#This Row],[Amount]],tblTransactions[Date],tblTransactions[[#This Row],[Date]])&gt;1),"Yes","No")</f>
        <v>No</v>
      </c>
    </row>
    <row r="110" spans="1:15" x14ac:dyDescent="0.3">
      <c r="A110" t="s">
        <v>336</v>
      </c>
      <c r="B110" s="2">
        <v>46269.803472222222</v>
      </c>
      <c r="C110" t="s">
        <v>43</v>
      </c>
      <c r="D110" t="s">
        <v>69</v>
      </c>
      <c r="E110" s="6">
        <v>31307.9</v>
      </c>
      <c r="F110" t="s">
        <v>11</v>
      </c>
      <c r="G110" t="s">
        <v>337</v>
      </c>
      <c r="H110" t="s">
        <v>338</v>
      </c>
      <c r="I110" s="116">
        <f>INT(tblTransactions[[#This Row],[TransactionDate]])</f>
        <v>46269</v>
      </c>
      <c r="J110" t="str">
        <f>IF(tblTransactions[[#This Row],[ApprovalID]]="", "R2 - Missing Approval Reference", "")</f>
        <v/>
      </c>
      <c r="K110" t="str">
        <f>IF(AND(tblTransactions[[#This Row],[ApprovalID]]&lt;&gt;"",COUNTIFS(tblApprovals[TransactionID],tblTransactions[[#This Row],[TransactionID]],tblApprovals[ApprovalID],tblTransactions[[#This Row],[ApprovalID]])=0),"R3 - Missing or Mismatched Approval Record", "")</f>
        <v/>
      </c>
      <c r="L11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0" t="str">
        <f>IF(AND(tblTransactions[[#This Row],[TransactionStatus]]="Success",COUNTIF(tblSettlement[TransactionID],tblTransactions[[#This Row],[TransactionID]])=0)," R5 - Successful Transaction Not Settled", "")</f>
        <v/>
      </c>
      <c r="N110" t="str">
        <f>IF(AND(COUNTIF(tblSettlement[TransactionID],tblTransactions[[#This Row],[TransactionID]])&gt;0,tblTransactions[[#This Row],[Amount]]&lt;&gt;SUMIF(tblSettlement[TransactionID],tblTransactions[[#This Row],[TransactionID]],tblSettlement[SettledAmount]))," R6 - Settlement Amount Mismatch", "")</f>
        <v/>
      </c>
      <c r="O110" t="str">
        <f>IF(AND(tblTransactions[[#This Row],[CustomerRef]] &lt;&gt;"",COUNTIFS(tblTransactions[CustomerRef],tblTransactions[[#This Row],[CustomerRef]],tblTransactions[Amount],tblTransactions[[#This Row],[Amount]],tblTransactions[Date],tblTransactions[[#This Row],[Date]])&gt;1),"Yes","No")</f>
        <v>No</v>
      </c>
    </row>
    <row r="111" spans="1:15" x14ac:dyDescent="0.3">
      <c r="A111" t="s">
        <v>339</v>
      </c>
      <c r="B111" s="2">
        <v>46253.498611111114</v>
      </c>
      <c r="C111" t="s">
        <v>9</v>
      </c>
      <c r="D111" t="s">
        <v>10</v>
      </c>
      <c r="E111" s="6">
        <v>45053.48</v>
      </c>
      <c r="F111" t="s">
        <v>11</v>
      </c>
      <c r="G111" t="s">
        <v>340</v>
      </c>
      <c r="H111" t="s">
        <v>341</v>
      </c>
      <c r="I111" s="116">
        <f>INT(tblTransactions[[#This Row],[TransactionDate]])</f>
        <v>46253</v>
      </c>
      <c r="J111" t="str">
        <f>IF(tblTransactions[[#This Row],[ApprovalID]]="", "R2 - Missing Approval Reference", "")</f>
        <v/>
      </c>
      <c r="K111" t="str">
        <f>IF(AND(tblTransactions[[#This Row],[ApprovalID]]&lt;&gt;"",COUNTIFS(tblApprovals[TransactionID],tblTransactions[[#This Row],[TransactionID]],tblApprovals[ApprovalID],tblTransactions[[#This Row],[ApprovalID]])=0),"R3 - Missing or Mismatched Approval Record", "")</f>
        <v/>
      </c>
      <c r="L11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1" t="str">
        <f>IF(AND(tblTransactions[[#This Row],[TransactionStatus]]="Success",COUNTIF(tblSettlement[TransactionID],tblTransactions[[#This Row],[TransactionID]])=0)," R5 - Successful Transaction Not Settled", "")</f>
        <v/>
      </c>
      <c r="N111" t="str">
        <f>IF(AND(COUNTIF(tblSettlement[TransactionID],tblTransactions[[#This Row],[TransactionID]])&gt;0,tblTransactions[[#This Row],[Amount]]&lt;&gt;SUMIF(tblSettlement[TransactionID],tblTransactions[[#This Row],[TransactionID]],tblSettlement[SettledAmount]))," R6 - Settlement Amount Mismatch", "")</f>
        <v/>
      </c>
      <c r="O111" t="str">
        <f>IF(AND(tblTransactions[[#This Row],[CustomerRef]] &lt;&gt;"",COUNTIFS(tblTransactions[CustomerRef],tblTransactions[[#This Row],[CustomerRef]],tblTransactions[Amount],tblTransactions[[#This Row],[Amount]],tblTransactions[Date],tblTransactions[[#This Row],[Date]])&gt;1),"Yes","No")</f>
        <v>No</v>
      </c>
    </row>
    <row r="112" spans="1:15" x14ac:dyDescent="0.3">
      <c r="A112" t="s">
        <v>342</v>
      </c>
      <c r="B112" s="2">
        <v>46247.951388888891</v>
      </c>
      <c r="C112" t="s">
        <v>24</v>
      </c>
      <c r="D112" t="s">
        <v>20</v>
      </c>
      <c r="E112" s="6">
        <v>38203.39</v>
      </c>
      <c r="F112" t="s">
        <v>11</v>
      </c>
      <c r="G112" t="s">
        <v>343</v>
      </c>
      <c r="H112" t="s">
        <v>344</v>
      </c>
      <c r="I112" s="116">
        <f>INT(tblTransactions[[#This Row],[TransactionDate]])</f>
        <v>46247</v>
      </c>
      <c r="J112" t="str">
        <f>IF(tblTransactions[[#This Row],[ApprovalID]]="", "R2 - Missing Approval Reference", "")</f>
        <v/>
      </c>
      <c r="K112" t="str">
        <f>IF(AND(tblTransactions[[#This Row],[ApprovalID]]&lt;&gt;"",COUNTIFS(tblApprovals[TransactionID],tblTransactions[[#This Row],[TransactionID]],tblApprovals[ApprovalID],tblTransactions[[#This Row],[ApprovalID]])=0),"R3 - Missing or Mismatched Approval Record", "")</f>
        <v/>
      </c>
      <c r="L11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2" t="str">
        <f>IF(AND(tblTransactions[[#This Row],[TransactionStatus]]="Success",COUNTIF(tblSettlement[TransactionID],tblTransactions[[#This Row],[TransactionID]])=0)," R5 - Successful Transaction Not Settled", "")</f>
        <v/>
      </c>
      <c r="N112" t="str">
        <f>IF(AND(COUNTIF(tblSettlement[TransactionID],tblTransactions[[#This Row],[TransactionID]])&gt;0,tblTransactions[[#This Row],[Amount]]&lt;&gt;SUMIF(tblSettlement[TransactionID],tblTransactions[[#This Row],[TransactionID]],tblSettlement[SettledAmount]))," R6 - Settlement Amount Mismatch", "")</f>
        <v/>
      </c>
      <c r="O112" t="str">
        <f>IF(AND(tblTransactions[[#This Row],[CustomerRef]] &lt;&gt;"",COUNTIFS(tblTransactions[CustomerRef],tblTransactions[[#This Row],[CustomerRef]],tblTransactions[Amount],tblTransactions[[#This Row],[Amount]],tblTransactions[Date],tblTransactions[[#This Row],[Date]])&gt;1),"Yes","No")</f>
        <v>No</v>
      </c>
    </row>
    <row r="113" spans="1:15" x14ac:dyDescent="0.3">
      <c r="A113" t="s">
        <v>345</v>
      </c>
      <c r="B113" s="2">
        <v>46223.648611111108</v>
      </c>
      <c r="C113" t="s">
        <v>19</v>
      </c>
      <c r="D113" t="s">
        <v>29</v>
      </c>
      <c r="E113" s="6">
        <v>36454.519999999997</v>
      </c>
      <c r="F113" t="s">
        <v>11</v>
      </c>
      <c r="G113" t="s">
        <v>346</v>
      </c>
      <c r="H113" t="s">
        <v>347</v>
      </c>
      <c r="I113" s="116">
        <f>INT(tblTransactions[[#This Row],[TransactionDate]])</f>
        <v>46223</v>
      </c>
      <c r="J113" t="str">
        <f>IF(tblTransactions[[#This Row],[ApprovalID]]="", "R2 - Missing Approval Reference", "")</f>
        <v/>
      </c>
      <c r="K113" t="str">
        <f>IF(AND(tblTransactions[[#This Row],[ApprovalID]]&lt;&gt;"",COUNTIFS(tblApprovals[TransactionID],tblTransactions[[#This Row],[TransactionID]],tblApprovals[ApprovalID],tblTransactions[[#This Row],[ApprovalID]])=0),"R3 - Missing or Mismatched Approval Record", "")</f>
        <v/>
      </c>
      <c r="L11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3" t="str">
        <f>IF(AND(tblTransactions[[#This Row],[TransactionStatus]]="Success",COUNTIF(tblSettlement[TransactionID],tblTransactions[[#This Row],[TransactionID]])=0)," R5 - Successful Transaction Not Settled", "")</f>
        <v/>
      </c>
      <c r="N113" t="str">
        <f>IF(AND(COUNTIF(tblSettlement[TransactionID],tblTransactions[[#This Row],[TransactionID]])&gt;0,tblTransactions[[#This Row],[Amount]]&lt;&gt;SUMIF(tblSettlement[TransactionID],tblTransactions[[#This Row],[TransactionID]],tblSettlement[SettledAmount]))," R6 - Settlement Amount Mismatch", "")</f>
        <v/>
      </c>
      <c r="O113" t="str">
        <f>IF(AND(tblTransactions[[#This Row],[CustomerRef]] &lt;&gt;"",COUNTIFS(tblTransactions[CustomerRef],tblTransactions[[#This Row],[CustomerRef]],tblTransactions[Amount],tblTransactions[[#This Row],[Amount]],tblTransactions[Date],tblTransactions[[#This Row],[Date]])&gt;1),"Yes","No")</f>
        <v>No</v>
      </c>
    </row>
    <row r="114" spans="1:15" x14ac:dyDescent="0.3">
      <c r="A114" t="s">
        <v>348</v>
      </c>
      <c r="B114" s="2">
        <v>46228.802083333336</v>
      </c>
      <c r="C114" t="s">
        <v>43</v>
      </c>
      <c r="D114" t="s">
        <v>10</v>
      </c>
      <c r="E114" s="6">
        <v>42991.87</v>
      </c>
      <c r="F114" t="s">
        <v>11</v>
      </c>
      <c r="G114" t="s">
        <v>349</v>
      </c>
      <c r="H114" t="s">
        <v>350</v>
      </c>
      <c r="I114" s="116">
        <f>INT(tblTransactions[[#This Row],[TransactionDate]])</f>
        <v>46228</v>
      </c>
      <c r="J114" t="str">
        <f>IF(tblTransactions[[#This Row],[ApprovalID]]="", "R2 - Missing Approval Reference", "")</f>
        <v/>
      </c>
      <c r="K114" t="str">
        <f>IF(AND(tblTransactions[[#This Row],[ApprovalID]]&lt;&gt;"",COUNTIFS(tblApprovals[TransactionID],tblTransactions[[#This Row],[TransactionID]],tblApprovals[ApprovalID],tblTransactions[[#This Row],[ApprovalID]])=0),"R3 - Missing or Mismatched Approval Record", "")</f>
        <v/>
      </c>
      <c r="L11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4" t="str">
        <f>IF(AND(tblTransactions[[#This Row],[TransactionStatus]]="Success",COUNTIF(tblSettlement[TransactionID],tblTransactions[[#This Row],[TransactionID]])=0)," R5 - Successful Transaction Not Settled", "")</f>
        <v/>
      </c>
      <c r="N114" t="str">
        <f>IF(AND(COUNTIF(tblSettlement[TransactionID],tblTransactions[[#This Row],[TransactionID]])&gt;0,tblTransactions[[#This Row],[Amount]]&lt;&gt;SUMIF(tblSettlement[TransactionID],tblTransactions[[#This Row],[TransactionID]],tblSettlement[SettledAmount]))," R6 - Settlement Amount Mismatch", "")</f>
        <v/>
      </c>
      <c r="O114" t="str">
        <f>IF(AND(tblTransactions[[#This Row],[CustomerRef]] &lt;&gt;"",COUNTIFS(tblTransactions[CustomerRef],tblTransactions[[#This Row],[CustomerRef]],tblTransactions[Amount],tblTransactions[[#This Row],[Amount]],tblTransactions[Date],tblTransactions[[#This Row],[Date]])&gt;1),"Yes","No")</f>
        <v>No</v>
      </c>
    </row>
    <row r="115" spans="1:15" x14ac:dyDescent="0.3">
      <c r="A115" t="s">
        <v>351</v>
      </c>
      <c r="B115" s="2">
        <v>46294.95208333333</v>
      </c>
      <c r="C115" t="s">
        <v>28</v>
      </c>
      <c r="D115" t="s">
        <v>69</v>
      </c>
      <c r="E115" s="6">
        <v>28747.03</v>
      </c>
      <c r="F115" t="s">
        <v>36</v>
      </c>
      <c r="G115" t="s">
        <v>352</v>
      </c>
      <c r="H115" t="s">
        <v>353</v>
      </c>
      <c r="I115" s="116">
        <f>INT(tblTransactions[[#This Row],[TransactionDate]])</f>
        <v>46294</v>
      </c>
      <c r="J115" t="str">
        <f>IF(tblTransactions[[#This Row],[ApprovalID]]="", "R2 - Missing Approval Reference", "")</f>
        <v/>
      </c>
      <c r="K115" t="str">
        <f>IF(AND(tblTransactions[[#This Row],[ApprovalID]]&lt;&gt;"",COUNTIFS(tblApprovals[TransactionID],tblTransactions[[#This Row],[TransactionID]],tblApprovals[ApprovalID],tblTransactions[[#This Row],[ApprovalID]])=0),"R3 - Missing or Mismatched Approval Record", "")</f>
        <v/>
      </c>
      <c r="L11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5" t="str">
        <f>IF(AND(tblTransactions[[#This Row],[TransactionStatus]]="Success",COUNTIF(tblSettlement[TransactionID],tblTransactions[[#This Row],[TransactionID]])=0)," R5 - Successful Transaction Not Settled", "")</f>
        <v/>
      </c>
      <c r="N115" t="str">
        <f>IF(AND(COUNTIF(tblSettlement[TransactionID],tblTransactions[[#This Row],[TransactionID]])&gt;0,tblTransactions[[#This Row],[Amount]]&lt;&gt;SUMIF(tblSettlement[TransactionID],tblTransactions[[#This Row],[TransactionID]],tblSettlement[SettledAmount]))," R6 - Settlement Amount Mismatch", "")</f>
        <v/>
      </c>
      <c r="O115" t="str">
        <f>IF(AND(tblTransactions[[#This Row],[CustomerRef]] &lt;&gt;"",COUNTIFS(tblTransactions[CustomerRef],tblTransactions[[#This Row],[CustomerRef]],tblTransactions[Amount],tblTransactions[[#This Row],[Amount]],tblTransactions[Date],tblTransactions[[#This Row],[Date]])&gt;1),"Yes","No")</f>
        <v>No</v>
      </c>
    </row>
    <row r="116" spans="1:15" x14ac:dyDescent="0.3">
      <c r="A116" t="s">
        <v>354</v>
      </c>
      <c r="B116" s="2">
        <v>46220.692361111112</v>
      </c>
      <c r="C116" t="s">
        <v>43</v>
      </c>
      <c r="D116" t="s">
        <v>10</v>
      </c>
      <c r="E116" s="6">
        <v>25066.6</v>
      </c>
      <c r="F116" t="s">
        <v>11</v>
      </c>
      <c r="G116" t="s">
        <v>355</v>
      </c>
      <c r="H116" t="s">
        <v>356</v>
      </c>
      <c r="I116" s="116">
        <f>INT(tblTransactions[[#This Row],[TransactionDate]])</f>
        <v>46220</v>
      </c>
      <c r="J116" t="str">
        <f>IF(tblTransactions[[#This Row],[ApprovalID]]="", "R2 - Missing Approval Reference", "")</f>
        <v/>
      </c>
      <c r="K116" t="str">
        <f>IF(AND(tblTransactions[[#This Row],[ApprovalID]]&lt;&gt;"",COUNTIFS(tblApprovals[TransactionID],tblTransactions[[#This Row],[TransactionID]],tblApprovals[ApprovalID],tblTransactions[[#This Row],[ApprovalID]])=0),"R3 - Missing or Mismatched Approval Record", "")</f>
        <v/>
      </c>
      <c r="L11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6" t="str">
        <f>IF(AND(tblTransactions[[#This Row],[TransactionStatus]]="Success",COUNTIF(tblSettlement[TransactionID],tblTransactions[[#This Row],[TransactionID]])=0)," R5 - Successful Transaction Not Settled", "")</f>
        <v/>
      </c>
      <c r="N116" t="str">
        <f>IF(AND(COUNTIF(tblSettlement[TransactionID],tblTransactions[[#This Row],[TransactionID]])&gt;0,tblTransactions[[#This Row],[Amount]]&lt;&gt;SUMIF(tblSettlement[TransactionID],tblTransactions[[#This Row],[TransactionID]],tblSettlement[SettledAmount]))," R6 - Settlement Amount Mismatch", "")</f>
        <v/>
      </c>
      <c r="O116" t="str">
        <f>IF(AND(tblTransactions[[#This Row],[CustomerRef]] &lt;&gt;"",COUNTIFS(tblTransactions[CustomerRef],tblTransactions[[#This Row],[CustomerRef]],tblTransactions[Amount],tblTransactions[[#This Row],[Amount]],tblTransactions[Date],tblTransactions[[#This Row],[Date]])&gt;1),"Yes","No")</f>
        <v>No</v>
      </c>
    </row>
    <row r="117" spans="1:15" x14ac:dyDescent="0.3">
      <c r="A117" t="s">
        <v>357</v>
      </c>
      <c r="B117" s="2">
        <v>46205.79791666667</v>
      </c>
      <c r="C117" t="s">
        <v>9</v>
      </c>
      <c r="D117" t="s">
        <v>10</v>
      </c>
      <c r="E117" s="6">
        <v>30895.9</v>
      </c>
      <c r="F117" t="s">
        <v>11</v>
      </c>
      <c r="G117" t="s">
        <v>358</v>
      </c>
      <c r="H117" t="s">
        <v>359</v>
      </c>
      <c r="I117" s="116">
        <f>INT(tblTransactions[[#This Row],[TransactionDate]])</f>
        <v>46205</v>
      </c>
      <c r="J117" t="str">
        <f>IF(tblTransactions[[#This Row],[ApprovalID]]="", "R2 - Missing Approval Reference", "")</f>
        <v/>
      </c>
      <c r="K117" t="str">
        <f>IF(AND(tblTransactions[[#This Row],[ApprovalID]]&lt;&gt;"",COUNTIFS(tblApprovals[TransactionID],tblTransactions[[#This Row],[TransactionID]],tblApprovals[ApprovalID],tblTransactions[[#This Row],[ApprovalID]])=0),"R3 - Missing or Mismatched Approval Record", "")</f>
        <v/>
      </c>
      <c r="L11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7" t="str">
        <f>IF(AND(tblTransactions[[#This Row],[TransactionStatus]]="Success",COUNTIF(tblSettlement[TransactionID],tblTransactions[[#This Row],[TransactionID]])=0)," R5 - Successful Transaction Not Settled", "")</f>
        <v/>
      </c>
      <c r="N117" t="str">
        <f>IF(AND(COUNTIF(tblSettlement[TransactionID],tblTransactions[[#This Row],[TransactionID]])&gt;0,tblTransactions[[#This Row],[Amount]]&lt;&gt;SUMIF(tblSettlement[TransactionID],tblTransactions[[#This Row],[TransactionID]],tblSettlement[SettledAmount]))," R6 - Settlement Amount Mismatch", "")</f>
        <v/>
      </c>
      <c r="O117" t="str">
        <f>IF(AND(tblTransactions[[#This Row],[CustomerRef]] &lt;&gt;"",COUNTIFS(tblTransactions[CustomerRef],tblTransactions[[#This Row],[CustomerRef]],tblTransactions[Amount],tblTransactions[[#This Row],[Amount]],tblTransactions[Date],tblTransactions[[#This Row],[Date]])&gt;1),"Yes","No")</f>
        <v>No</v>
      </c>
    </row>
    <row r="118" spans="1:15" x14ac:dyDescent="0.3">
      <c r="A118" t="s">
        <v>360</v>
      </c>
      <c r="B118" s="2">
        <v>46247.738888888889</v>
      </c>
      <c r="C118" t="s">
        <v>24</v>
      </c>
      <c r="D118" t="s">
        <v>15</v>
      </c>
      <c r="E118" s="6">
        <v>29961.88</v>
      </c>
      <c r="F118" t="s">
        <v>11</v>
      </c>
      <c r="G118" t="s">
        <v>361</v>
      </c>
      <c r="H118" t="s">
        <v>362</v>
      </c>
      <c r="I118" s="116">
        <f>INT(tblTransactions[[#This Row],[TransactionDate]])</f>
        <v>46247</v>
      </c>
      <c r="J118" t="str">
        <f>IF(tblTransactions[[#This Row],[ApprovalID]]="", "R2 - Missing Approval Reference", "")</f>
        <v/>
      </c>
      <c r="K118" t="str">
        <f>IF(AND(tblTransactions[[#This Row],[ApprovalID]]&lt;&gt;"",COUNTIFS(tblApprovals[TransactionID],tblTransactions[[#This Row],[TransactionID]],tblApprovals[ApprovalID],tblTransactions[[#This Row],[ApprovalID]])=0),"R3 - Missing or Mismatched Approval Record", "")</f>
        <v/>
      </c>
      <c r="L11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8" t="str">
        <f>IF(AND(tblTransactions[[#This Row],[TransactionStatus]]="Success",COUNTIF(tblSettlement[TransactionID],tblTransactions[[#This Row],[TransactionID]])=0)," R5 - Successful Transaction Not Settled", "")</f>
        <v xml:space="preserve"> R5 - Successful Transaction Not Settled</v>
      </c>
      <c r="N118" t="str">
        <f>IF(AND(COUNTIF(tblSettlement[TransactionID],tblTransactions[[#This Row],[TransactionID]])&gt;0,tblTransactions[[#This Row],[Amount]]&lt;&gt;SUMIF(tblSettlement[TransactionID],tblTransactions[[#This Row],[TransactionID]],tblSettlement[SettledAmount]))," R6 - Settlement Amount Mismatch", "")</f>
        <v/>
      </c>
      <c r="O118" t="str">
        <f>IF(AND(tblTransactions[[#This Row],[CustomerRef]] &lt;&gt;"",COUNTIFS(tblTransactions[CustomerRef],tblTransactions[[#This Row],[CustomerRef]],tblTransactions[Amount],tblTransactions[[#This Row],[Amount]],tblTransactions[Date],tblTransactions[[#This Row],[Date]])&gt;1),"Yes","No")</f>
        <v>No</v>
      </c>
    </row>
    <row r="119" spans="1:15" x14ac:dyDescent="0.3">
      <c r="A119" t="s">
        <v>363</v>
      </c>
      <c r="B119" s="2">
        <v>46284.830555555556</v>
      </c>
      <c r="C119" t="s">
        <v>47</v>
      </c>
      <c r="D119" t="s">
        <v>15</v>
      </c>
      <c r="E119" s="6">
        <v>57015.29</v>
      </c>
      <c r="F119" t="s">
        <v>11</v>
      </c>
      <c r="H119" t="s">
        <v>364</v>
      </c>
      <c r="I119" s="116">
        <f>INT(tblTransactions[[#This Row],[TransactionDate]])</f>
        <v>46284</v>
      </c>
      <c r="J119" t="str">
        <f>IF(tblTransactions[[#This Row],[ApprovalID]]="", "R2 - Missing Approval Reference", "")</f>
        <v>R2 - Missing Approval Reference</v>
      </c>
      <c r="K119" t="str">
        <f>IF(AND(tblTransactions[[#This Row],[ApprovalID]]&lt;&gt;"",COUNTIFS(tblApprovals[TransactionID],tblTransactions[[#This Row],[TransactionID]],tblApprovals[ApprovalID],tblTransactions[[#This Row],[ApprovalID]])=0),"R3 - Missing or Mismatched Approval Record", "")</f>
        <v/>
      </c>
      <c r="L11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19" t="str">
        <f>IF(AND(tblTransactions[[#This Row],[TransactionStatus]]="Success",COUNTIF(tblSettlement[TransactionID],tblTransactions[[#This Row],[TransactionID]])=0)," R5 - Successful Transaction Not Settled", "")</f>
        <v/>
      </c>
      <c r="N119" t="str">
        <f>IF(AND(COUNTIF(tblSettlement[TransactionID],tblTransactions[[#This Row],[TransactionID]])&gt;0,tblTransactions[[#This Row],[Amount]]&lt;&gt;SUMIF(tblSettlement[TransactionID],tblTransactions[[#This Row],[TransactionID]],tblSettlement[SettledAmount]))," R6 - Settlement Amount Mismatch", "")</f>
        <v/>
      </c>
      <c r="O119" t="str">
        <f>IF(AND(tblTransactions[[#This Row],[CustomerRef]] &lt;&gt;"",COUNTIFS(tblTransactions[CustomerRef],tblTransactions[[#This Row],[CustomerRef]],tblTransactions[Amount],tblTransactions[[#This Row],[Amount]],tblTransactions[Date],tblTransactions[[#This Row],[Date]])&gt;1),"Yes","No")</f>
        <v>No</v>
      </c>
    </row>
    <row r="120" spans="1:15" x14ac:dyDescent="0.3">
      <c r="A120" t="s">
        <v>365</v>
      </c>
      <c r="B120" s="2">
        <v>46233.795138888891</v>
      </c>
      <c r="C120" t="s">
        <v>28</v>
      </c>
      <c r="D120" t="s">
        <v>10</v>
      </c>
      <c r="E120" s="6">
        <v>32689.37</v>
      </c>
      <c r="F120" t="s">
        <v>11</v>
      </c>
      <c r="G120" t="s">
        <v>366</v>
      </c>
      <c r="H120" t="s">
        <v>367</v>
      </c>
      <c r="I120" s="116">
        <f>INT(tblTransactions[[#This Row],[TransactionDate]])</f>
        <v>46233</v>
      </c>
      <c r="J120" t="str">
        <f>IF(tblTransactions[[#This Row],[ApprovalID]]="", "R2 - Missing Approval Reference", "")</f>
        <v/>
      </c>
      <c r="K120" t="str">
        <f>IF(AND(tblTransactions[[#This Row],[ApprovalID]]&lt;&gt;"",COUNTIFS(tblApprovals[TransactionID],tblTransactions[[#This Row],[TransactionID]],tblApprovals[ApprovalID],tblTransactions[[#This Row],[ApprovalID]])=0),"R3 - Missing or Mismatched Approval Record", "")</f>
        <v/>
      </c>
      <c r="L12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0" t="str">
        <f>IF(AND(tblTransactions[[#This Row],[TransactionStatus]]="Success",COUNTIF(tblSettlement[TransactionID],tblTransactions[[#This Row],[TransactionID]])=0)," R5 - Successful Transaction Not Settled", "")</f>
        <v/>
      </c>
      <c r="N120" t="str">
        <f>IF(AND(COUNTIF(tblSettlement[TransactionID],tblTransactions[[#This Row],[TransactionID]])&gt;0,tblTransactions[[#This Row],[Amount]]&lt;&gt;SUMIF(tblSettlement[TransactionID],tblTransactions[[#This Row],[TransactionID]],tblSettlement[SettledAmount]))," R6 - Settlement Amount Mismatch", "")</f>
        <v/>
      </c>
      <c r="O120" t="str">
        <f>IF(AND(tblTransactions[[#This Row],[CustomerRef]] &lt;&gt;"",COUNTIFS(tblTransactions[CustomerRef],tblTransactions[[#This Row],[CustomerRef]],tblTransactions[Amount],tblTransactions[[#This Row],[Amount]],tblTransactions[Date],tblTransactions[[#This Row],[Date]])&gt;1),"Yes","No")</f>
        <v>No</v>
      </c>
    </row>
    <row r="121" spans="1:15" x14ac:dyDescent="0.3">
      <c r="A121" t="s">
        <v>368</v>
      </c>
      <c r="B121" s="2">
        <v>46207.347222222219</v>
      </c>
      <c r="C121" t="s">
        <v>24</v>
      </c>
      <c r="D121" t="s">
        <v>29</v>
      </c>
      <c r="E121" s="6">
        <v>59761.72</v>
      </c>
      <c r="F121" t="s">
        <v>11</v>
      </c>
      <c r="G121" t="s">
        <v>369</v>
      </c>
      <c r="H121" t="s">
        <v>370</v>
      </c>
      <c r="I121" s="116">
        <f>INT(tblTransactions[[#This Row],[TransactionDate]])</f>
        <v>46207</v>
      </c>
      <c r="J121" t="str">
        <f>IF(tblTransactions[[#This Row],[ApprovalID]]="", "R2 - Missing Approval Reference", "")</f>
        <v/>
      </c>
      <c r="K121" t="str">
        <f>IF(AND(tblTransactions[[#This Row],[ApprovalID]]&lt;&gt;"",COUNTIFS(tblApprovals[TransactionID],tblTransactions[[#This Row],[TransactionID]],tblApprovals[ApprovalID],tblTransactions[[#This Row],[ApprovalID]])=0),"R3 - Missing or Mismatched Approval Record", "")</f>
        <v/>
      </c>
      <c r="L12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1" t="str">
        <f>IF(AND(tblTransactions[[#This Row],[TransactionStatus]]="Success",COUNTIF(tblSettlement[TransactionID],tblTransactions[[#This Row],[TransactionID]])=0)," R5 - Successful Transaction Not Settled", "")</f>
        <v/>
      </c>
      <c r="N121" t="str">
        <f>IF(AND(COUNTIF(tblSettlement[TransactionID],tblTransactions[[#This Row],[TransactionID]])&gt;0,tblTransactions[[#This Row],[Amount]]&lt;&gt;SUMIF(tblSettlement[TransactionID],tblTransactions[[#This Row],[TransactionID]],tblSettlement[SettledAmount]))," R6 - Settlement Amount Mismatch", "")</f>
        <v/>
      </c>
      <c r="O121" t="str">
        <f>IF(AND(tblTransactions[[#This Row],[CustomerRef]] &lt;&gt;"",COUNTIFS(tblTransactions[CustomerRef],tblTransactions[[#This Row],[CustomerRef]],tblTransactions[Amount],tblTransactions[[#This Row],[Amount]],tblTransactions[Date],tblTransactions[[#This Row],[Date]])&gt;1),"Yes","No")</f>
        <v>No</v>
      </c>
    </row>
    <row r="122" spans="1:15" x14ac:dyDescent="0.3">
      <c r="A122" t="s">
        <v>371</v>
      </c>
      <c r="B122" s="2">
        <v>46256.738194444442</v>
      </c>
      <c r="C122" t="s">
        <v>47</v>
      </c>
      <c r="D122" t="s">
        <v>15</v>
      </c>
      <c r="E122" s="6">
        <v>59490.83</v>
      </c>
      <c r="F122" t="s">
        <v>11</v>
      </c>
      <c r="G122" t="s">
        <v>372</v>
      </c>
      <c r="H122" t="s">
        <v>373</v>
      </c>
      <c r="I122" s="116">
        <f>INT(tblTransactions[[#This Row],[TransactionDate]])</f>
        <v>46256</v>
      </c>
      <c r="J122" t="str">
        <f>IF(tblTransactions[[#This Row],[ApprovalID]]="", "R2 - Missing Approval Reference", "")</f>
        <v/>
      </c>
      <c r="K122" t="str">
        <f>IF(AND(tblTransactions[[#This Row],[ApprovalID]]&lt;&gt;"",COUNTIFS(tblApprovals[TransactionID],tblTransactions[[#This Row],[TransactionID]],tblApprovals[ApprovalID],tblTransactions[[#This Row],[ApprovalID]])=0),"R3 - Missing or Mismatched Approval Record", "")</f>
        <v/>
      </c>
      <c r="L12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2" t="str">
        <f>IF(AND(tblTransactions[[#This Row],[TransactionStatus]]="Success",COUNTIF(tblSettlement[TransactionID],tblTransactions[[#This Row],[TransactionID]])=0)," R5 - Successful Transaction Not Settled", "")</f>
        <v/>
      </c>
      <c r="N122" t="str">
        <f>IF(AND(COUNTIF(tblSettlement[TransactionID],tblTransactions[[#This Row],[TransactionID]])&gt;0,tblTransactions[[#This Row],[Amount]]&lt;&gt;SUMIF(tblSettlement[TransactionID],tblTransactions[[#This Row],[TransactionID]],tblSettlement[SettledAmount]))," R6 - Settlement Amount Mismatch", "")</f>
        <v/>
      </c>
      <c r="O122" t="str">
        <f>IF(AND(tblTransactions[[#This Row],[CustomerRef]] &lt;&gt;"",COUNTIFS(tblTransactions[CustomerRef],tblTransactions[[#This Row],[CustomerRef]],tblTransactions[Amount],tblTransactions[[#This Row],[Amount]],tblTransactions[Date],tblTransactions[[#This Row],[Date]])&gt;1),"Yes","No")</f>
        <v>No</v>
      </c>
    </row>
    <row r="123" spans="1:15" x14ac:dyDescent="0.3">
      <c r="A123" t="s">
        <v>374</v>
      </c>
      <c r="B123" s="2">
        <v>46267.942361111112</v>
      </c>
      <c r="C123" t="s">
        <v>24</v>
      </c>
      <c r="D123" t="s">
        <v>29</v>
      </c>
      <c r="E123" s="6">
        <v>10948.05</v>
      </c>
      <c r="F123" t="s">
        <v>11</v>
      </c>
      <c r="G123" t="s">
        <v>375</v>
      </c>
      <c r="H123" t="s">
        <v>376</v>
      </c>
      <c r="I123" s="116">
        <f>INT(tblTransactions[[#This Row],[TransactionDate]])</f>
        <v>46267</v>
      </c>
      <c r="J123" t="str">
        <f>IF(tblTransactions[[#This Row],[ApprovalID]]="", "R2 - Missing Approval Reference", "")</f>
        <v/>
      </c>
      <c r="K123" t="str">
        <f>IF(AND(tblTransactions[[#This Row],[ApprovalID]]&lt;&gt;"",COUNTIFS(tblApprovals[TransactionID],tblTransactions[[#This Row],[TransactionID]],tblApprovals[ApprovalID],tblTransactions[[#This Row],[ApprovalID]])=0),"R3 - Missing or Mismatched Approval Record", "")</f>
        <v/>
      </c>
      <c r="L12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3" t="str">
        <f>IF(AND(tblTransactions[[#This Row],[TransactionStatus]]="Success",COUNTIF(tblSettlement[TransactionID],tblTransactions[[#This Row],[TransactionID]])=0)," R5 - Successful Transaction Not Settled", "")</f>
        <v/>
      </c>
      <c r="N123" t="str">
        <f>IF(AND(COUNTIF(tblSettlement[TransactionID],tblTransactions[[#This Row],[TransactionID]])&gt;0,tblTransactions[[#This Row],[Amount]]&lt;&gt;SUMIF(tblSettlement[TransactionID],tblTransactions[[#This Row],[TransactionID]],tblSettlement[SettledAmount]))," R6 - Settlement Amount Mismatch", "")</f>
        <v/>
      </c>
      <c r="O123" t="str">
        <f>IF(AND(tblTransactions[[#This Row],[CustomerRef]] &lt;&gt;"",COUNTIFS(tblTransactions[CustomerRef],tblTransactions[[#This Row],[CustomerRef]],tblTransactions[Amount],tblTransactions[[#This Row],[Amount]],tblTransactions[Date],tblTransactions[[#This Row],[Date]])&gt;1),"Yes","No")</f>
        <v>No</v>
      </c>
    </row>
    <row r="124" spans="1:15" x14ac:dyDescent="0.3">
      <c r="A124" t="s">
        <v>377</v>
      </c>
      <c r="B124" s="2">
        <v>46263.929166666669</v>
      </c>
      <c r="C124" t="s">
        <v>43</v>
      </c>
      <c r="D124" t="s">
        <v>20</v>
      </c>
      <c r="E124" s="6">
        <v>50901.41</v>
      </c>
      <c r="F124" t="s">
        <v>11</v>
      </c>
      <c r="G124" t="s">
        <v>378</v>
      </c>
      <c r="H124" t="s">
        <v>379</v>
      </c>
      <c r="I124" s="116">
        <f>INT(tblTransactions[[#This Row],[TransactionDate]])</f>
        <v>46263</v>
      </c>
      <c r="J124" t="str">
        <f>IF(tblTransactions[[#This Row],[ApprovalID]]="", "R2 - Missing Approval Reference", "")</f>
        <v/>
      </c>
      <c r="K124" t="str">
        <f>IF(AND(tblTransactions[[#This Row],[ApprovalID]]&lt;&gt;"",COUNTIFS(tblApprovals[TransactionID],tblTransactions[[#This Row],[TransactionID]],tblApprovals[ApprovalID],tblTransactions[[#This Row],[ApprovalID]])=0),"R3 - Missing or Mismatched Approval Record", "")</f>
        <v/>
      </c>
      <c r="L12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4" t="str">
        <f>IF(AND(tblTransactions[[#This Row],[TransactionStatus]]="Success",COUNTIF(tblSettlement[TransactionID],tblTransactions[[#This Row],[TransactionID]])=0)," R5 - Successful Transaction Not Settled", "")</f>
        <v/>
      </c>
      <c r="N124" t="str">
        <f>IF(AND(COUNTIF(tblSettlement[TransactionID],tblTransactions[[#This Row],[TransactionID]])&gt;0,tblTransactions[[#This Row],[Amount]]&lt;&gt;SUMIF(tblSettlement[TransactionID],tblTransactions[[#This Row],[TransactionID]],tblSettlement[SettledAmount]))," R6 - Settlement Amount Mismatch", "")</f>
        <v/>
      </c>
      <c r="O124" t="str">
        <f>IF(AND(tblTransactions[[#This Row],[CustomerRef]] &lt;&gt;"",COUNTIFS(tblTransactions[CustomerRef],tblTransactions[[#This Row],[CustomerRef]],tblTransactions[Amount],tblTransactions[[#This Row],[Amount]],tblTransactions[Date],tblTransactions[[#This Row],[Date]])&gt;1),"Yes","No")</f>
        <v>No</v>
      </c>
    </row>
    <row r="125" spans="1:15" x14ac:dyDescent="0.3">
      <c r="A125" t="s">
        <v>380</v>
      </c>
      <c r="B125" s="2">
        <v>46285.613888888889</v>
      </c>
      <c r="C125" t="s">
        <v>9</v>
      </c>
      <c r="D125" t="s">
        <v>29</v>
      </c>
      <c r="E125" s="6">
        <v>18944.84</v>
      </c>
      <c r="F125" t="s">
        <v>11</v>
      </c>
      <c r="G125" t="s">
        <v>381</v>
      </c>
      <c r="H125" t="s">
        <v>382</v>
      </c>
      <c r="I125" s="116">
        <f>INT(tblTransactions[[#This Row],[TransactionDate]])</f>
        <v>46285</v>
      </c>
      <c r="J125" t="str">
        <f>IF(tblTransactions[[#This Row],[ApprovalID]]="", "R2 - Missing Approval Reference", "")</f>
        <v/>
      </c>
      <c r="K125" t="str">
        <f>IF(AND(tblTransactions[[#This Row],[ApprovalID]]&lt;&gt;"",COUNTIFS(tblApprovals[TransactionID],tblTransactions[[#This Row],[TransactionID]],tblApprovals[ApprovalID],tblTransactions[[#This Row],[ApprovalID]])=0),"R3 - Missing or Mismatched Approval Record", "")</f>
        <v/>
      </c>
      <c r="L12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5" t="str">
        <f>IF(AND(tblTransactions[[#This Row],[TransactionStatus]]="Success",COUNTIF(tblSettlement[TransactionID],tblTransactions[[#This Row],[TransactionID]])=0)," R5 - Successful Transaction Not Settled", "")</f>
        <v/>
      </c>
      <c r="N125" t="str">
        <f>IF(AND(COUNTIF(tblSettlement[TransactionID],tblTransactions[[#This Row],[TransactionID]])&gt;0,tblTransactions[[#This Row],[Amount]]&lt;&gt;SUMIF(tblSettlement[TransactionID],tblTransactions[[#This Row],[TransactionID]],tblSettlement[SettledAmount]))," R6 - Settlement Amount Mismatch", "")</f>
        <v/>
      </c>
      <c r="O125" t="str">
        <f>IF(AND(tblTransactions[[#This Row],[CustomerRef]] &lt;&gt;"",COUNTIFS(tblTransactions[CustomerRef],tblTransactions[[#This Row],[CustomerRef]],tblTransactions[Amount],tblTransactions[[#This Row],[Amount]],tblTransactions[Date],tblTransactions[[#This Row],[Date]])&gt;1),"Yes","No")</f>
        <v>No</v>
      </c>
    </row>
    <row r="126" spans="1:15" x14ac:dyDescent="0.3">
      <c r="A126" t="s">
        <v>383</v>
      </c>
      <c r="B126" s="2">
        <v>46234.60833333333</v>
      </c>
      <c r="C126" t="s">
        <v>28</v>
      </c>
      <c r="D126" t="s">
        <v>20</v>
      </c>
      <c r="E126" s="6">
        <v>27082.2</v>
      </c>
      <c r="F126" t="s">
        <v>11</v>
      </c>
      <c r="H126" t="s">
        <v>384</v>
      </c>
      <c r="I126" s="116">
        <f>INT(tblTransactions[[#This Row],[TransactionDate]])</f>
        <v>46234</v>
      </c>
      <c r="J126" t="str">
        <f>IF(tblTransactions[[#This Row],[ApprovalID]]="", "R2 - Missing Approval Reference", "")</f>
        <v>R2 - Missing Approval Reference</v>
      </c>
      <c r="K126" t="str">
        <f>IF(AND(tblTransactions[[#This Row],[ApprovalID]]&lt;&gt;"",COUNTIFS(tblApprovals[TransactionID],tblTransactions[[#This Row],[TransactionID]],tblApprovals[ApprovalID],tblTransactions[[#This Row],[ApprovalID]])=0),"R3 - Missing or Mismatched Approval Record", "")</f>
        <v/>
      </c>
      <c r="L12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6" t="str">
        <f>IF(AND(tblTransactions[[#This Row],[TransactionStatus]]="Success",COUNTIF(tblSettlement[TransactionID],tblTransactions[[#This Row],[TransactionID]])=0)," R5 - Successful Transaction Not Settled", "")</f>
        <v/>
      </c>
      <c r="N126" t="str">
        <f>IF(AND(COUNTIF(tblSettlement[TransactionID],tblTransactions[[#This Row],[TransactionID]])&gt;0,tblTransactions[[#This Row],[Amount]]&lt;&gt;SUMIF(tblSettlement[TransactionID],tblTransactions[[#This Row],[TransactionID]],tblSettlement[SettledAmount]))," R6 - Settlement Amount Mismatch", "")</f>
        <v/>
      </c>
      <c r="O126" t="str">
        <f>IF(AND(tblTransactions[[#This Row],[CustomerRef]] &lt;&gt;"",COUNTIFS(tblTransactions[CustomerRef],tblTransactions[[#This Row],[CustomerRef]],tblTransactions[Amount],tblTransactions[[#This Row],[Amount]],tblTransactions[Date],tblTransactions[[#This Row],[Date]])&gt;1),"Yes","No")</f>
        <v>No</v>
      </c>
    </row>
    <row r="127" spans="1:15" x14ac:dyDescent="0.3">
      <c r="A127" t="s">
        <v>385</v>
      </c>
      <c r="B127" s="2">
        <v>46239.35833333333</v>
      </c>
      <c r="C127" t="s">
        <v>47</v>
      </c>
      <c r="D127" t="s">
        <v>15</v>
      </c>
      <c r="E127" s="6">
        <v>64913.79</v>
      </c>
      <c r="F127" t="s">
        <v>11</v>
      </c>
      <c r="G127" t="s">
        <v>386</v>
      </c>
      <c r="H127" t="s">
        <v>387</v>
      </c>
      <c r="I127" s="116">
        <f>INT(tblTransactions[[#This Row],[TransactionDate]])</f>
        <v>46239</v>
      </c>
      <c r="J127" t="str">
        <f>IF(tblTransactions[[#This Row],[ApprovalID]]="", "R2 - Missing Approval Reference", "")</f>
        <v/>
      </c>
      <c r="K127" t="str">
        <f>IF(AND(tblTransactions[[#This Row],[ApprovalID]]&lt;&gt;"",COUNTIFS(tblApprovals[TransactionID],tblTransactions[[#This Row],[TransactionID]],tblApprovals[ApprovalID],tblTransactions[[#This Row],[ApprovalID]])=0),"R3 - Missing or Mismatched Approval Record", "")</f>
        <v/>
      </c>
      <c r="L12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7" t="str">
        <f>IF(AND(tblTransactions[[#This Row],[TransactionStatus]]="Success",COUNTIF(tblSettlement[TransactionID],tblTransactions[[#This Row],[TransactionID]])=0)," R5 - Successful Transaction Not Settled", "")</f>
        <v/>
      </c>
      <c r="N127" t="str">
        <f>IF(AND(COUNTIF(tblSettlement[TransactionID],tblTransactions[[#This Row],[TransactionID]])&gt;0,tblTransactions[[#This Row],[Amount]]&lt;&gt;SUMIF(tblSettlement[TransactionID],tblTransactions[[#This Row],[TransactionID]],tblSettlement[SettledAmount]))," R6 - Settlement Amount Mismatch", "")</f>
        <v/>
      </c>
      <c r="O127" t="str">
        <f>IF(AND(tblTransactions[[#This Row],[CustomerRef]] &lt;&gt;"",COUNTIFS(tblTransactions[CustomerRef],tblTransactions[[#This Row],[CustomerRef]],tblTransactions[Amount],tblTransactions[[#This Row],[Amount]],tblTransactions[Date],tblTransactions[[#This Row],[Date]])&gt;1),"Yes","No")</f>
        <v>No</v>
      </c>
    </row>
    <row r="128" spans="1:15" x14ac:dyDescent="0.3">
      <c r="A128" t="s">
        <v>388</v>
      </c>
      <c r="B128" s="2">
        <v>46233.743750000001</v>
      </c>
      <c r="C128" t="s">
        <v>19</v>
      </c>
      <c r="D128" t="s">
        <v>20</v>
      </c>
      <c r="E128" s="6">
        <v>26585.99</v>
      </c>
      <c r="F128" t="s">
        <v>11</v>
      </c>
      <c r="G128" t="s">
        <v>389</v>
      </c>
      <c r="H128" t="s">
        <v>390</v>
      </c>
      <c r="I128" s="116">
        <f>INT(tblTransactions[[#This Row],[TransactionDate]])</f>
        <v>46233</v>
      </c>
      <c r="J128" t="str">
        <f>IF(tblTransactions[[#This Row],[ApprovalID]]="", "R2 - Missing Approval Reference", "")</f>
        <v/>
      </c>
      <c r="K128" t="str">
        <f>IF(AND(tblTransactions[[#This Row],[ApprovalID]]&lt;&gt;"",COUNTIFS(tblApprovals[TransactionID],tblTransactions[[#This Row],[TransactionID]],tblApprovals[ApprovalID],tblTransactions[[#This Row],[ApprovalID]])=0),"R3 - Missing or Mismatched Approval Record", "")</f>
        <v/>
      </c>
      <c r="L12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8" t="str">
        <f>IF(AND(tblTransactions[[#This Row],[TransactionStatus]]="Success",COUNTIF(tblSettlement[TransactionID],tblTransactions[[#This Row],[TransactionID]])=0)," R5 - Successful Transaction Not Settled", "")</f>
        <v/>
      </c>
      <c r="N128" t="str">
        <f>IF(AND(COUNTIF(tblSettlement[TransactionID],tblTransactions[[#This Row],[TransactionID]])&gt;0,tblTransactions[[#This Row],[Amount]]&lt;&gt;SUMIF(tblSettlement[TransactionID],tblTransactions[[#This Row],[TransactionID]],tblSettlement[SettledAmount]))," R6 - Settlement Amount Mismatch", "")</f>
        <v/>
      </c>
      <c r="O128" t="str">
        <f>IF(AND(tblTransactions[[#This Row],[CustomerRef]] &lt;&gt;"",COUNTIFS(tblTransactions[CustomerRef],tblTransactions[[#This Row],[CustomerRef]],tblTransactions[Amount],tblTransactions[[#This Row],[Amount]],tblTransactions[Date],tblTransactions[[#This Row],[Date]])&gt;1),"Yes","No")</f>
        <v>No</v>
      </c>
    </row>
    <row r="129" spans="1:15" x14ac:dyDescent="0.3">
      <c r="A129" t="s">
        <v>391</v>
      </c>
      <c r="B129" s="2">
        <v>46284.414583333331</v>
      </c>
      <c r="C129" t="s">
        <v>43</v>
      </c>
      <c r="D129" t="s">
        <v>10</v>
      </c>
      <c r="E129" s="6">
        <v>47152.49</v>
      </c>
      <c r="F129" t="s">
        <v>11</v>
      </c>
      <c r="G129" t="s">
        <v>392</v>
      </c>
      <c r="H129" t="s">
        <v>393</v>
      </c>
      <c r="I129" s="116">
        <f>INT(tblTransactions[[#This Row],[TransactionDate]])</f>
        <v>46284</v>
      </c>
      <c r="J129" t="str">
        <f>IF(tblTransactions[[#This Row],[ApprovalID]]="", "R2 - Missing Approval Reference", "")</f>
        <v/>
      </c>
      <c r="K129" t="str">
        <f>IF(AND(tblTransactions[[#This Row],[ApprovalID]]&lt;&gt;"",COUNTIFS(tblApprovals[TransactionID],tblTransactions[[#This Row],[TransactionID]],tblApprovals[ApprovalID],tblTransactions[[#This Row],[ApprovalID]])=0),"R3 - Missing or Mismatched Approval Record", "")</f>
        <v/>
      </c>
      <c r="L12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29" t="str">
        <f>IF(AND(tblTransactions[[#This Row],[TransactionStatus]]="Success",COUNTIF(tblSettlement[TransactionID],tblTransactions[[#This Row],[TransactionID]])=0)," R5 - Successful Transaction Not Settled", "")</f>
        <v/>
      </c>
      <c r="N129" t="str">
        <f>IF(AND(COUNTIF(tblSettlement[TransactionID],tblTransactions[[#This Row],[TransactionID]])&gt;0,tblTransactions[[#This Row],[Amount]]&lt;&gt;SUMIF(tblSettlement[TransactionID],tblTransactions[[#This Row],[TransactionID]],tblSettlement[SettledAmount]))," R6 - Settlement Amount Mismatch", "")</f>
        <v/>
      </c>
      <c r="O129" t="str">
        <f>IF(AND(tblTransactions[[#This Row],[CustomerRef]] &lt;&gt;"",COUNTIFS(tblTransactions[CustomerRef],tblTransactions[[#This Row],[CustomerRef]],tblTransactions[Amount],tblTransactions[[#This Row],[Amount]],tblTransactions[Date],tblTransactions[[#This Row],[Date]])&gt;1),"Yes","No")</f>
        <v>No</v>
      </c>
    </row>
    <row r="130" spans="1:15" x14ac:dyDescent="0.3">
      <c r="A130" t="s">
        <v>394</v>
      </c>
      <c r="B130" s="2">
        <v>46215.929166666669</v>
      </c>
      <c r="C130" t="s">
        <v>9</v>
      </c>
      <c r="D130" t="s">
        <v>69</v>
      </c>
      <c r="E130" s="6">
        <v>24672.25</v>
      </c>
      <c r="F130" t="s">
        <v>11</v>
      </c>
      <c r="G130" t="s">
        <v>395</v>
      </c>
      <c r="H130" t="s">
        <v>396</v>
      </c>
      <c r="I130" s="116">
        <f>INT(tblTransactions[[#This Row],[TransactionDate]])</f>
        <v>46215</v>
      </c>
      <c r="J130" t="str">
        <f>IF(tblTransactions[[#This Row],[ApprovalID]]="", "R2 - Missing Approval Reference", "")</f>
        <v/>
      </c>
      <c r="K130" t="str">
        <f>IF(AND(tblTransactions[[#This Row],[ApprovalID]]&lt;&gt;"",COUNTIFS(tblApprovals[TransactionID],tblTransactions[[#This Row],[TransactionID]],tblApprovals[ApprovalID],tblTransactions[[#This Row],[ApprovalID]])=0),"R3 - Missing or Mismatched Approval Record", "")</f>
        <v/>
      </c>
      <c r="L13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0" t="str">
        <f>IF(AND(tblTransactions[[#This Row],[TransactionStatus]]="Success",COUNTIF(tblSettlement[TransactionID],tblTransactions[[#This Row],[TransactionID]])=0)," R5 - Successful Transaction Not Settled", "")</f>
        <v/>
      </c>
      <c r="N130" t="str">
        <f>IF(AND(COUNTIF(tblSettlement[TransactionID],tblTransactions[[#This Row],[TransactionID]])&gt;0,tblTransactions[[#This Row],[Amount]]&lt;&gt;SUMIF(tblSettlement[TransactionID],tblTransactions[[#This Row],[TransactionID]],tblSettlement[SettledAmount]))," R6 - Settlement Amount Mismatch", "")</f>
        <v/>
      </c>
      <c r="O130" t="str">
        <f>IF(AND(tblTransactions[[#This Row],[CustomerRef]] &lt;&gt;"",COUNTIFS(tblTransactions[CustomerRef],tblTransactions[[#This Row],[CustomerRef]],tblTransactions[Amount],tblTransactions[[#This Row],[Amount]],tblTransactions[Date],tblTransactions[[#This Row],[Date]])&gt;1),"Yes","No")</f>
        <v>No</v>
      </c>
    </row>
    <row r="131" spans="1:15" x14ac:dyDescent="0.3">
      <c r="A131" t="s">
        <v>397</v>
      </c>
      <c r="B131" s="2">
        <v>46271.706944444442</v>
      </c>
      <c r="C131" t="s">
        <v>43</v>
      </c>
      <c r="D131" t="s">
        <v>20</v>
      </c>
      <c r="E131" s="6">
        <v>20621.419999999998</v>
      </c>
      <c r="F131" t="s">
        <v>11</v>
      </c>
      <c r="G131" t="s">
        <v>398</v>
      </c>
      <c r="H131" t="s">
        <v>399</v>
      </c>
      <c r="I131" s="116">
        <f>INT(tblTransactions[[#This Row],[TransactionDate]])</f>
        <v>46271</v>
      </c>
      <c r="J131" t="str">
        <f>IF(tblTransactions[[#This Row],[ApprovalID]]="", "R2 - Missing Approval Reference", "")</f>
        <v/>
      </c>
      <c r="K131" t="str">
        <f>IF(AND(tblTransactions[[#This Row],[ApprovalID]]&lt;&gt;"",COUNTIFS(tblApprovals[TransactionID],tblTransactions[[#This Row],[TransactionID]],tblApprovals[ApprovalID],tblTransactions[[#This Row],[ApprovalID]])=0),"R3 - Missing or Mismatched Approval Record", "")</f>
        <v/>
      </c>
      <c r="L13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1" t="str">
        <f>IF(AND(tblTransactions[[#This Row],[TransactionStatus]]="Success",COUNTIF(tblSettlement[TransactionID],tblTransactions[[#This Row],[TransactionID]])=0)," R5 - Successful Transaction Not Settled", "")</f>
        <v/>
      </c>
      <c r="N131" t="str">
        <f>IF(AND(COUNTIF(tblSettlement[TransactionID],tblTransactions[[#This Row],[TransactionID]])&gt;0,tblTransactions[[#This Row],[Amount]]&lt;&gt;SUMIF(tblSettlement[TransactionID],tblTransactions[[#This Row],[TransactionID]],tblSettlement[SettledAmount]))," R6 - Settlement Amount Mismatch", "")</f>
        <v/>
      </c>
      <c r="O131" t="str">
        <f>IF(AND(tblTransactions[[#This Row],[CustomerRef]] &lt;&gt;"",COUNTIFS(tblTransactions[CustomerRef],tblTransactions[[#This Row],[CustomerRef]],tblTransactions[Amount],tblTransactions[[#This Row],[Amount]],tblTransactions[Date],tblTransactions[[#This Row],[Date]])&gt;1),"Yes","No")</f>
        <v>No</v>
      </c>
    </row>
    <row r="132" spans="1:15" x14ac:dyDescent="0.3">
      <c r="A132" t="s">
        <v>400</v>
      </c>
      <c r="B132" s="2">
        <v>46218.62777777778</v>
      </c>
      <c r="C132" t="s">
        <v>28</v>
      </c>
      <c r="D132" t="s">
        <v>29</v>
      </c>
      <c r="E132" s="6">
        <v>10771.59</v>
      </c>
      <c r="F132" t="s">
        <v>111</v>
      </c>
      <c r="G132" t="s">
        <v>401</v>
      </c>
      <c r="H132" t="s">
        <v>402</v>
      </c>
      <c r="I132" s="116">
        <f>INT(tblTransactions[[#This Row],[TransactionDate]])</f>
        <v>46218</v>
      </c>
      <c r="J132" t="str">
        <f>IF(tblTransactions[[#This Row],[ApprovalID]]="", "R2 - Missing Approval Reference", "")</f>
        <v/>
      </c>
      <c r="K132" t="str">
        <f>IF(AND(tblTransactions[[#This Row],[ApprovalID]]&lt;&gt;"",COUNTIFS(tblApprovals[TransactionID],tblTransactions[[#This Row],[TransactionID]],tblApprovals[ApprovalID],tblTransactions[[#This Row],[ApprovalID]])=0),"R3 - Missing or Mismatched Approval Record", "")</f>
        <v/>
      </c>
      <c r="L13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2" t="str">
        <f>IF(AND(tblTransactions[[#This Row],[TransactionStatus]]="Success",COUNTIF(tblSettlement[TransactionID],tblTransactions[[#This Row],[TransactionID]])=0)," R5 - Successful Transaction Not Settled", "")</f>
        <v/>
      </c>
      <c r="N132" t="str">
        <f>IF(AND(COUNTIF(tblSettlement[TransactionID],tblTransactions[[#This Row],[TransactionID]])&gt;0,tblTransactions[[#This Row],[Amount]]&lt;&gt;SUMIF(tblSettlement[TransactionID],tblTransactions[[#This Row],[TransactionID]],tblSettlement[SettledAmount]))," R6 - Settlement Amount Mismatch", "")</f>
        <v/>
      </c>
      <c r="O132" t="str">
        <f>IF(AND(tblTransactions[[#This Row],[CustomerRef]] &lt;&gt;"",COUNTIFS(tblTransactions[CustomerRef],tblTransactions[[#This Row],[CustomerRef]],tblTransactions[Amount],tblTransactions[[#This Row],[Amount]],tblTransactions[Date],tblTransactions[[#This Row],[Date]])&gt;1),"Yes","No")</f>
        <v>No</v>
      </c>
    </row>
    <row r="133" spans="1:15" x14ac:dyDescent="0.3">
      <c r="A133" t="s">
        <v>403</v>
      </c>
      <c r="B133" s="2">
        <v>46215.850694444445</v>
      </c>
      <c r="C133" t="s">
        <v>43</v>
      </c>
      <c r="D133" t="s">
        <v>20</v>
      </c>
      <c r="E133" s="6">
        <v>1290.42</v>
      </c>
      <c r="F133" t="s">
        <v>11</v>
      </c>
      <c r="G133" t="s">
        <v>404</v>
      </c>
      <c r="H133" t="s">
        <v>405</v>
      </c>
      <c r="I133" s="116">
        <f>INT(tblTransactions[[#This Row],[TransactionDate]])</f>
        <v>46215</v>
      </c>
      <c r="J133" t="str">
        <f>IF(tblTransactions[[#This Row],[ApprovalID]]="", "R2 - Missing Approval Reference", "")</f>
        <v/>
      </c>
      <c r="K133" t="str">
        <f>IF(AND(tblTransactions[[#This Row],[ApprovalID]]&lt;&gt;"",COUNTIFS(tblApprovals[TransactionID],tblTransactions[[#This Row],[TransactionID]],tblApprovals[ApprovalID],tblTransactions[[#This Row],[ApprovalID]])=0),"R3 - Missing or Mismatched Approval Record", "")</f>
        <v/>
      </c>
      <c r="L13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3" t="str">
        <f>IF(AND(tblTransactions[[#This Row],[TransactionStatus]]="Success",COUNTIF(tblSettlement[TransactionID],tblTransactions[[#This Row],[TransactionID]])=0)," R5 - Successful Transaction Not Settled", "")</f>
        <v/>
      </c>
      <c r="N133" t="str">
        <f>IF(AND(COUNTIF(tblSettlement[TransactionID],tblTransactions[[#This Row],[TransactionID]])&gt;0,tblTransactions[[#This Row],[Amount]]&lt;&gt;SUMIF(tblSettlement[TransactionID],tblTransactions[[#This Row],[TransactionID]],tblSettlement[SettledAmount]))," R6 - Settlement Amount Mismatch", "")</f>
        <v/>
      </c>
      <c r="O133" t="str">
        <f>IF(AND(tblTransactions[[#This Row],[CustomerRef]] &lt;&gt;"",COUNTIFS(tblTransactions[CustomerRef],tblTransactions[[#This Row],[CustomerRef]],tblTransactions[Amount],tblTransactions[[#This Row],[Amount]],tblTransactions[Date],tblTransactions[[#This Row],[Date]])&gt;1),"Yes","No")</f>
        <v>No</v>
      </c>
    </row>
    <row r="134" spans="1:15" x14ac:dyDescent="0.3">
      <c r="A134" t="s">
        <v>406</v>
      </c>
      <c r="B134" s="2">
        <v>46278.619444444441</v>
      </c>
      <c r="C134" t="s">
        <v>28</v>
      </c>
      <c r="D134" t="s">
        <v>69</v>
      </c>
      <c r="E134" s="6">
        <v>47981.56</v>
      </c>
      <c r="F134" t="s">
        <v>11</v>
      </c>
      <c r="G134" t="s">
        <v>407</v>
      </c>
      <c r="H134" t="s">
        <v>408</v>
      </c>
      <c r="I134" s="116">
        <f>INT(tblTransactions[[#This Row],[TransactionDate]])</f>
        <v>46278</v>
      </c>
      <c r="J134" t="str">
        <f>IF(tblTransactions[[#This Row],[ApprovalID]]="", "R2 - Missing Approval Reference", "")</f>
        <v/>
      </c>
      <c r="K134" t="str">
        <f>IF(AND(tblTransactions[[#This Row],[ApprovalID]]&lt;&gt;"",COUNTIFS(tblApprovals[TransactionID],tblTransactions[[#This Row],[TransactionID]],tblApprovals[ApprovalID],tblTransactions[[#This Row],[ApprovalID]])=0),"R3 - Missing or Mismatched Approval Record", "")</f>
        <v/>
      </c>
      <c r="L13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4" t="str">
        <f>IF(AND(tblTransactions[[#This Row],[TransactionStatus]]="Success",COUNTIF(tblSettlement[TransactionID],tblTransactions[[#This Row],[TransactionID]])=0)," R5 - Successful Transaction Not Settled", "")</f>
        <v/>
      </c>
      <c r="N134" t="str">
        <f>IF(AND(COUNTIF(tblSettlement[TransactionID],tblTransactions[[#This Row],[TransactionID]])&gt;0,tblTransactions[[#This Row],[Amount]]&lt;&gt;SUMIF(tblSettlement[TransactionID],tblTransactions[[#This Row],[TransactionID]],tblSettlement[SettledAmount]))," R6 - Settlement Amount Mismatch", "")</f>
        <v/>
      </c>
      <c r="O134" t="str">
        <f>IF(AND(tblTransactions[[#This Row],[CustomerRef]] &lt;&gt;"",COUNTIFS(tblTransactions[CustomerRef],tblTransactions[[#This Row],[CustomerRef]],tblTransactions[Amount],tblTransactions[[#This Row],[Amount]],tblTransactions[Date],tblTransactions[[#This Row],[Date]])&gt;1),"Yes","No")</f>
        <v>No</v>
      </c>
    </row>
    <row r="135" spans="1:15" x14ac:dyDescent="0.3">
      <c r="A135" t="s">
        <v>409</v>
      </c>
      <c r="B135" s="2">
        <v>46282.486805555556</v>
      </c>
      <c r="C135" t="s">
        <v>28</v>
      </c>
      <c r="D135" t="s">
        <v>20</v>
      </c>
      <c r="E135" s="6">
        <v>4975.47</v>
      </c>
      <c r="F135" t="s">
        <v>11</v>
      </c>
      <c r="G135" t="s">
        <v>410</v>
      </c>
      <c r="H135" t="s">
        <v>411</v>
      </c>
      <c r="I135" s="116">
        <f>INT(tblTransactions[[#This Row],[TransactionDate]])</f>
        <v>46282</v>
      </c>
      <c r="J135" t="str">
        <f>IF(tblTransactions[[#This Row],[ApprovalID]]="", "R2 - Missing Approval Reference", "")</f>
        <v/>
      </c>
      <c r="K135" t="str">
        <f>IF(AND(tblTransactions[[#This Row],[ApprovalID]]&lt;&gt;"",COUNTIFS(tblApprovals[TransactionID],tblTransactions[[#This Row],[TransactionID]],tblApprovals[ApprovalID],tblTransactions[[#This Row],[ApprovalID]])=0),"R3 - Missing or Mismatched Approval Record", "")</f>
        <v/>
      </c>
      <c r="L13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5" t="str">
        <f>IF(AND(tblTransactions[[#This Row],[TransactionStatus]]="Success",COUNTIF(tblSettlement[TransactionID],tblTransactions[[#This Row],[TransactionID]])=0)," R5 - Successful Transaction Not Settled", "")</f>
        <v/>
      </c>
      <c r="N135" t="str">
        <f>IF(AND(COUNTIF(tblSettlement[TransactionID],tblTransactions[[#This Row],[TransactionID]])&gt;0,tblTransactions[[#This Row],[Amount]]&lt;&gt;SUMIF(tblSettlement[TransactionID],tblTransactions[[#This Row],[TransactionID]],tblSettlement[SettledAmount]))," R6 - Settlement Amount Mismatch", "")</f>
        <v/>
      </c>
      <c r="O135" t="str">
        <f>IF(AND(tblTransactions[[#This Row],[CustomerRef]] &lt;&gt;"",COUNTIFS(tblTransactions[CustomerRef],tblTransactions[[#This Row],[CustomerRef]],tblTransactions[Amount],tblTransactions[[#This Row],[Amount]],tblTransactions[Date],tblTransactions[[#This Row],[Date]])&gt;1),"Yes","No")</f>
        <v>No</v>
      </c>
    </row>
    <row r="136" spans="1:15" x14ac:dyDescent="0.3">
      <c r="A136" t="s">
        <v>412</v>
      </c>
      <c r="B136" s="2">
        <v>46221.334722222222</v>
      </c>
      <c r="C136" t="s">
        <v>47</v>
      </c>
      <c r="D136" t="s">
        <v>69</v>
      </c>
      <c r="E136" s="6">
        <v>23001.25</v>
      </c>
      <c r="F136" t="s">
        <v>11</v>
      </c>
      <c r="G136" t="s">
        <v>413</v>
      </c>
      <c r="H136" t="s">
        <v>414</v>
      </c>
      <c r="I136" s="116">
        <f>INT(tblTransactions[[#This Row],[TransactionDate]])</f>
        <v>46221</v>
      </c>
      <c r="J136" t="str">
        <f>IF(tblTransactions[[#This Row],[ApprovalID]]="", "R2 - Missing Approval Reference", "")</f>
        <v/>
      </c>
      <c r="K136" t="str">
        <f>IF(AND(tblTransactions[[#This Row],[ApprovalID]]&lt;&gt;"",COUNTIFS(tblApprovals[TransactionID],tblTransactions[[#This Row],[TransactionID]],tblApprovals[ApprovalID],tblTransactions[[#This Row],[ApprovalID]])=0),"R3 - Missing or Mismatched Approval Record", "")</f>
        <v/>
      </c>
      <c r="L13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6" t="str">
        <f>IF(AND(tblTransactions[[#This Row],[TransactionStatus]]="Success",COUNTIF(tblSettlement[TransactionID],tblTransactions[[#This Row],[TransactionID]])=0)," R5 - Successful Transaction Not Settled", "")</f>
        <v/>
      </c>
      <c r="N136" t="str">
        <f>IF(AND(COUNTIF(tblSettlement[TransactionID],tblTransactions[[#This Row],[TransactionID]])&gt;0,tblTransactions[[#This Row],[Amount]]&lt;&gt;SUMIF(tblSettlement[TransactionID],tblTransactions[[#This Row],[TransactionID]],tblSettlement[SettledAmount]))," R6 - Settlement Amount Mismatch", "")</f>
        <v/>
      </c>
      <c r="O136" t="str">
        <f>IF(AND(tblTransactions[[#This Row],[CustomerRef]] &lt;&gt;"",COUNTIFS(tblTransactions[CustomerRef],tblTransactions[[#This Row],[CustomerRef]],tblTransactions[Amount],tblTransactions[[#This Row],[Amount]],tblTransactions[Date],tblTransactions[[#This Row],[Date]])&gt;1),"Yes","No")</f>
        <v>No</v>
      </c>
    </row>
    <row r="137" spans="1:15" x14ac:dyDescent="0.3">
      <c r="A137" t="s">
        <v>415</v>
      </c>
      <c r="B137" s="2">
        <v>46253.640972222223</v>
      </c>
      <c r="C137" t="s">
        <v>19</v>
      </c>
      <c r="D137" t="s">
        <v>29</v>
      </c>
      <c r="E137" s="6">
        <v>50368.84</v>
      </c>
      <c r="F137" t="s">
        <v>11</v>
      </c>
      <c r="G137" t="s">
        <v>416</v>
      </c>
      <c r="H137" t="s">
        <v>417</v>
      </c>
      <c r="I137" s="116">
        <f>INT(tblTransactions[[#This Row],[TransactionDate]])</f>
        <v>46253</v>
      </c>
      <c r="J137" t="str">
        <f>IF(tblTransactions[[#This Row],[ApprovalID]]="", "R2 - Missing Approval Reference", "")</f>
        <v/>
      </c>
      <c r="K137" t="str">
        <f>IF(AND(tblTransactions[[#This Row],[ApprovalID]]&lt;&gt;"",COUNTIFS(tblApprovals[TransactionID],tblTransactions[[#This Row],[TransactionID]],tblApprovals[ApprovalID],tblTransactions[[#This Row],[ApprovalID]])=0),"R3 - Missing or Mismatched Approval Record", "")</f>
        <v/>
      </c>
      <c r="L13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7" t="str">
        <f>IF(AND(tblTransactions[[#This Row],[TransactionStatus]]="Success",COUNTIF(tblSettlement[TransactionID],tblTransactions[[#This Row],[TransactionID]])=0)," R5 - Successful Transaction Not Settled", "")</f>
        <v/>
      </c>
      <c r="N137" t="str">
        <f>IF(AND(COUNTIF(tblSettlement[TransactionID],tblTransactions[[#This Row],[TransactionID]])&gt;0,tblTransactions[[#This Row],[Amount]]&lt;&gt;SUMIF(tblSettlement[TransactionID],tblTransactions[[#This Row],[TransactionID]],tblSettlement[SettledAmount]))," R6 - Settlement Amount Mismatch", "")</f>
        <v/>
      </c>
      <c r="O137" t="str">
        <f>IF(AND(tblTransactions[[#This Row],[CustomerRef]] &lt;&gt;"",COUNTIFS(tblTransactions[CustomerRef],tblTransactions[[#This Row],[CustomerRef]],tblTransactions[Amount],tblTransactions[[#This Row],[Amount]],tblTransactions[Date],tblTransactions[[#This Row],[Date]])&gt;1),"Yes","No")</f>
        <v>No</v>
      </c>
    </row>
    <row r="138" spans="1:15" x14ac:dyDescent="0.3">
      <c r="A138" t="s">
        <v>418</v>
      </c>
      <c r="B138" s="2">
        <v>46257.754166666666</v>
      </c>
      <c r="C138" t="s">
        <v>24</v>
      </c>
      <c r="D138" t="s">
        <v>10</v>
      </c>
      <c r="E138" s="6">
        <v>62568.56</v>
      </c>
      <c r="F138" t="s">
        <v>11</v>
      </c>
      <c r="G138" t="s">
        <v>419</v>
      </c>
      <c r="H138" t="s">
        <v>420</v>
      </c>
      <c r="I138" s="116">
        <f>INT(tblTransactions[[#This Row],[TransactionDate]])</f>
        <v>46257</v>
      </c>
      <c r="J138" t="str">
        <f>IF(tblTransactions[[#This Row],[ApprovalID]]="", "R2 - Missing Approval Reference", "")</f>
        <v/>
      </c>
      <c r="K138" t="str">
        <f>IF(AND(tblTransactions[[#This Row],[ApprovalID]]&lt;&gt;"",COUNTIFS(tblApprovals[TransactionID],tblTransactions[[#This Row],[TransactionID]],tblApprovals[ApprovalID],tblTransactions[[#This Row],[ApprovalID]])=0),"R3 - Missing or Mismatched Approval Record", "")</f>
        <v/>
      </c>
      <c r="L13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8" t="str">
        <f>IF(AND(tblTransactions[[#This Row],[TransactionStatus]]="Success",COUNTIF(tblSettlement[TransactionID],tblTransactions[[#This Row],[TransactionID]])=0)," R5 - Successful Transaction Not Settled", "")</f>
        <v/>
      </c>
      <c r="N138" t="str">
        <f>IF(AND(COUNTIF(tblSettlement[TransactionID],tblTransactions[[#This Row],[TransactionID]])&gt;0,tblTransactions[[#This Row],[Amount]]&lt;&gt;SUMIF(tblSettlement[TransactionID],tblTransactions[[#This Row],[TransactionID]],tblSettlement[SettledAmount]))," R6 - Settlement Amount Mismatch", "")</f>
        <v/>
      </c>
      <c r="O138" t="str">
        <f>IF(AND(tblTransactions[[#This Row],[CustomerRef]] &lt;&gt;"",COUNTIFS(tblTransactions[CustomerRef],tblTransactions[[#This Row],[CustomerRef]],tblTransactions[Amount],tblTransactions[[#This Row],[Amount]],tblTransactions[Date],tblTransactions[[#This Row],[Date]])&gt;1),"Yes","No")</f>
        <v>No</v>
      </c>
    </row>
    <row r="139" spans="1:15" x14ac:dyDescent="0.3">
      <c r="A139" t="s">
        <v>421</v>
      </c>
      <c r="B139" s="2">
        <v>46260.635416666664</v>
      </c>
      <c r="C139" t="s">
        <v>28</v>
      </c>
      <c r="D139" t="s">
        <v>20</v>
      </c>
      <c r="E139" s="6">
        <v>64194.9</v>
      </c>
      <c r="F139" t="s">
        <v>11</v>
      </c>
      <c r="G139" t="s">
        <v>422</v>
      </c>
      <c r="H139" t="s">
        <v>423</v>
      </c>
      <c r="I139" s="116">
        <f>INT(tblTransactions[[#This Row],[TransactionDate]])</f>
        <v>46260</v>
      </c>
      <c r="J139" t="str">
        <f>IF(tblTransactions[[#This Row],[ApprovalID]]="", "R2 - Missing Approval Reference", "")</f>
        <v/>
      </c>
      <c r="K139" t="str">
        <f>IF(AND(tblTransactions[[#This Row],[ApprovalID]]&lt;&gt;"",COUNTIFS(tblApprovals[TransactionID],tblTransactions[[#This Row],[TransactionID]],tblApprovals[ApprovalID],tblTransactions[[#This Row],[ApprovalID]])=0),"R3 - Missing or Mismatched Approval Record", "")</f>
        <v/>
      </c>
      <c r="L13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39" t="str">
        <f>IF(AND(tblTransactions[[#This Row],[TransactionStatus]]="Success",COUNTIF(tblSettlement[TransactionID],tblTransactions[[#This Row],[TransactionID]])=0)," R5 - Successful Transaction Not Settled", "")</f>
        <v/>
      </c>
      <c r="N139" t="str">
        <f>IF(AND(COUNTIF(tblSettlement[TransactionID],tblTransactions[[#This Row],[TransactionID]])&gt;0,tblTransactions[[#This Row],[Amount]]&lt;&gt;SUMIF(tblSettlement[TransactionID],tblTransactions[[#This Row],[TransactionID]],tblSettlement[SettledAmount]))," R6 - Settlement Amount Mismatch", "")</f>
        <v/>
      </c>
      <c r="O139" t="str">
        <f>IF(AND(tblTransactions[[#This Row],[CustomerRef]] &lt;&gt;"",COUNTIFS(tblTransactions[CustomerRef],tblTransactions[[#This Row],[CustomerRef]],tblTransactions[Amount],tblTransactions[[#This Row],[Amount]],tblTransactions[Date],tblTransactions[[#This Row],[Date]])&gt;1),"Yes","No")</f>
        <v>No</v>
      </c>
    </row>
    <row r="140" spans="1:15" x14ac:dyDescent="0.3">
      <c r="A140" t="s">
        <v>424</v>
      </c>
      <c r="B140" s="2">
        <v>46211.595138888886</v>
      </c>
      <c r="C140" t="s">
        <v>43</v>
      </c>
      <c r="D140" t="s">
        <v>10</v>
      </c>
      <c r="E140" s="6">
        <v>14438.19</v>
      </c>
      <c r="F140" t="s">
        <v>11</v>
      </c>
      <c r="G140" t="s">
        <v>425</v>
      </c>
      <c r="H140" t="s">
        <v>426</v>
      </c>
      <c r="I140" s="116">
        <f>INT(tblTransactions[[#This Row],[TransactionDate]])</f>
        <v>46211</v>
      </c>
      <c r="J140" t="str">
        <f>IF(tblTransactions[[#This Row],[ApprovalID]]="", "R2 - Missing Approval Reference", "")</f>
        <v/>
      </c>
      <c r="K140" t="str">
        <f>IF(AND(tblTransactions[[#This Row],[ApprovalID]]&lt;&gt;"",COUNTIFS(tblApprovals[TransactionID],tblTransactions[[#This Row],[TransactionID]],tblApprovals[ApprovalID],tblTransactions[[#This Row],[ApprovalID]])=0),"R3 - Missing or Mismatched Approval Record", "")</f>
        <v/>
      </c>
      <c r="L14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0" t="str">
        <f>IF(AND(tblTransactions[[#This Row],[TransactionStatus]]="Success",COUNTIF(tblSettlement[TransactionID],tblTransactions[[#This Row],[TransactionID]])=0)," R5 - Successful Transaction Not Settled", "")</f>
        <v/>
      </c>
      <c r="N140" t="str">
        <f>IF(AND(COUNTIF(tblSettlement[TransactionID],tblTransactions[[#This Row],[TransactionID]])&gt;0,tblTransactions[[#This Row],[Amount]]&lt;&gt;SUMIF(tblSettlement[TransactionID],tblTransactions[[#This Row],[TransactionID]],tblSettlement[SettledAmount]))," R6 - Settlement Amount Mismatch", "")</f>
        <v/>
      </c>
      <c r="O140" t="str">
        <f>IF(AND(tblTransactions[[#This Row],[CustomerRef]] &lt;&gt;"",COUNTIFS(tblTransactions[CustomerRef],tblTransactions[[#This Row],[CustomerRef]],tblTransactions[Amount],tblTransactions[[#This Row],[Amount]],tblTransactions[Date],tblTransactions[[#This Row],[Date]])&gt;1),"Yes","No")</f>
        <v>No</v>
      </c>
    </row>
    <row r="141" spans="1:15" x14ac:dyDescent="0.3">
      <c r="A141" t="s">
        <v>427</v>
      </c>
      <c r="B141" s="2">
        <v>46210.847916666666</v>
      </c>
      <c r="C141" t="s">
        <v>19</v>
      </c>
      <c r="D141" t="s">
        <v>69</v>
      </c>
      <c r="E141" s="6">
        <v>18456.78</v>
      </c>
      <c r="F141" t="s">
        <v>11</v>
      </c>
      <c r="H141" t="s">
        <v>428</v>
      </c>
      <c r="I141" s="116">
        <f>INT(tblTransactions[[#This Row],[TransactionDate]])</f>
        <v>46210</v>
      </c>
      <c r="J141" t="str">
        <f>IF(tblTransactions[[#This Row],[ApprovalID]]="", "R2 - Missing Approval Reference", "")</f>
        <v>R2 - Missing Approval Reference</v>
      </c>
      <c r="K141" t="str">
        <f>IF(AND(tblTransactions[[#This Row],[ApprovalID]]&lt;&gt;"",COUNTIFS(tblApprovals[TransactionID],tblTransactions[[#This Row],[TransactionID]],tblApprovals[ApprovalID],tblTransactions[[#This Row],[ApprovalID]])=0),"R3 - Missing or Mismatched Approval Record", "")</f>
        <v/>
      </c>
      <c r="L14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1" t="str">
        <f>IF(AND(tblTransactions[[#This Row],[TransactionStatus]]="Success",COUNTIF(tblSettlement[TransactionID],tblTransactions[[#This Row],[TransactionID]])=0)," R5 - Successful Transaction Not Settled", "")</f>
        <v/>
      </c>
      <c r="N141" t="str">
        <f>IF(AND(COUNTIF(tblSettlement[TransactionID],tblTransactions[[#This Row],[TransactionID]])&gt;0,tblTransactions[[#This Row],[Amount]]&lt;&gt;SUMIF(tblSettlement[TransactionID],tblTransactions[[#This Row],[TransactionID]],tblSettlement[SettledAmount]))," R6 - Settlement Amount Mismatch", "")</f>
        <v/>
      </c>
      <c r="O141" t="str">
        <f>IF(AND(tblTransactions[[#This Row],[CustomerRef]] &lt;&gt;"",COUNTIFS(tblTransactions[CustomerRef],tblTransactions[[#This Row],[CustomerRef]],tblTransactions[Amount],tblTransactions[[#This Row],[Amount]],tblTransactions[Date],tblTransactions[[#This Row],[Date]])&gt;1),"Yes","No")</f>
        <v>No</v>
      </c>
    </row>
    <row r="142" spans="1:15" x14ac:dyDescent="0.3">
      <c r="A142" t="s">
        <v>429</v>
      </c>
      <c r="B142" s="2">
        <v>46279.494444444441</v>
      </c>
      <c r="C142" t="s">
        <v>9</v>
      </c>
      <c r="D142" t="s">
        <v>15</v>
      </c>
      <c r="E142" s="6">
        <v>65259.73</v>
      </c>
      <c r="F142" t="s">
        <v>11</v>
      </c>
      <c r="H142" t="s">
        <v>430</v>
      </c>
      <c r="I142" s="116">
        <f>INT(tblTransactions[[#This Row],[TransactionDate]])</f>
        <v>46279</v>
      </c>
      <c r="J142" t="str">
        <f>IF(tblTransactions[[#This Row],[ApprovalID]]="", "R2 - Missing Approval Reference", "")</f>
        <v>R2 - Missing Approval Reference</v>
      </c>
      <c r="K142" t="str">
        <f>IF(AND(tblTransactions[[#This Row],[ApprovalID]]&lt;&gt;"",COUNTIFS(tblApprovals[TransactionID],tblTransactions[[#This Row],[TransactionID]],tblApprovals[ApprovalID],tblTransactions[[#This Row],[ApprovalID]])=0),"R3 - Missing or Mismatched Approval Record", "")</f>
        <v/>
      </c>
      <c r="L14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2" t="str">
        <f>IF(AND(tblTransactions[[#This Row],[TransactionStatus]]="Success",COUNTIF(tblSettlement[TransactionID],tblTransactions[[#This Row],[TransactionID]])=0)," R5 - Successful Transaction Not Settled", "")</f>
        <v/>
      </c>
      <c r="N142" t="str">
        <f>IF(AND(COUNTIF(tblSettlement[TransactionID],tblTransactions[[#This Row],[TransactionID]])&gt;0,tblTransactions[[#This Row],[Amount]]&lt;&gt;SUMIF(tblSettlement[TransactionID],tblTransactions[[#This Row],[TransactionID]],tblSettlement[SettledAmount]))," R6 - Settlement Amount Mismatch", "")</f>
        <v/>
      </c>
      <c r="O142" t="str">
        <f>IF(AND(tblTransactions[[#This Row],[CustomerRef]] &lt;&gt;"",COUNTIFS(tblTransactions[CustomerRef],tblTransactions[[#This Row],[CustomerRef]],tblTransactions[Amount],tblTransactions[[#This Row],[Amount]],tblTransactions[Date],tblTransactions[[#This Row],[Date]])&gt;1),"Yes","No")</f>
        <v>No</v>
      </c>
    </row>
    <row r="143" spans="1:15" x14ac:dyDescent="0.3">
      <c r="A143" t="s">
        <v>431</v>
      </c>
      <c r="B143" s="2">
        <v>46220.677777777775</v>
      </c>
      <c r="C143" t="s">
        <v>47</v>
      </c>
      <c r="D143" t="s">
        <v>69</v>
      </c>
      <c r="E143" s="6">
        <v>59938.91</v>
      </c>
      <c r="F143" t="s">
        <v>11</v>
      </c>
      <c r="H143" t="s">
        <v>432</v>
      </c>
      <c r="I143" s="116">
        <f>INT(tblTransactions[[#This Row],[TransactionDate]])</f>
        <v>46220</v>
      </c>
      <c r="J143" t="str">
        <f>IF(tblTransactions[[#This Row],[ApprovalID]]="", "R2 - Missing Approval Reference", "")</f>
        <v>R2 - Missing Approval Reference</v>
      </c>
      <c r="K143" t="str">
        <f>IF(AND(tblTransactions[[#This Row],[ApprovalID]]&lt;&gt;"",COUNTIFS(tblApprovals[TransactionID],tblTransactions[[#This Row],[TransactionID]],tblApprovals[ApprovalID],tblTransactions[[#This Row],[ApprovalID]])=0),"R3 - Missing or Mismatched Approval Record", "")</f>
        <v/>
      </c>
      <c r="L14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3" t="str">
        <f>IF(AND(tblTransactions[[#This Row],[TransactionStatus]]="Success",COUNTIF(tblSettlement[TransactionID],tblTransactions[[#This Row],[TransactionID]])=0)," R5 - Successful Transaction Not Settled", "")</f>
        <v/>
      </c>
      <c r="N143"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143" t="str">
        <f>IF(AND(tblTransactions[[#This Row],[CustomerRef]] &lt;&gt;"",COUNTIFS(tblTransactions[CustomerRef],tblTransactions[[#This Row],[CustomerRef]],tblTransactions[Amount],tblTransactions[[#This Row],[Amount]],tblTransactions[Date],tblTransactions[[#This Row],[Date]])&gt;1),"Yes","No")</f>
        <v>No</v>
      </c>
    </row>
    <row r="144" spans="1:15" x14ac:dyDescent="0.3">
      <c r="A144" t="s">
        <v>433</v>
      </c>
      <c r="B144" s="2">
        <v>46279.542361111111</v>
      </c>
      <c r="C144" t="s">
        <v>28</v>
      </c>
      <c r="D144" t="s">
        <v>29</v>
      </c>
      <c r="E144" s="6">
        <v>13274.9</v>
      </c>
      <c r="F144" t="s">
        <v>11</v>
      </c>
      <c r="G144" t="s">
        <v>434</v>
      </c>
      <c r="H144" t="s">
        <v>435</v>
      </c>
      <c r="I144" s="116">
        <f>INT(tblTransactions[[#This Row],[TransactionDate]])</f>
        <v>46279</v>
      </c>
      <c r="J144" t="str">
        <f>IF(tblTransactions[[#This Row],[ApprovalID]]="", "R2 - Missing Approval Reference", "")</f>
        <v/>
      </c>
      <c r="K144" t="str">
        <f>IF(AND(tblTransactions[[#This Row],[ApprovalID]]&lt;&gt;"",COUNTIFS(tblApprovals[TransactionID],tblTransactions[[#This Row],[TransactionID]],tblApprovals[ApprovalID],tblTransactions[[#This Row],[ApprovalID]])=0),"R3 - Missing or Mismatched Approval Record", "")</f>
        <v/>
      </c>
      <c r="L14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4" t="str">
        <f>IF(AND(tblTransactions[[#This Row],[TransactionStatus]]="Success",COUNTIF(tblSettlement[TransactionID],tblTransactions[[#This Row],[TransactionID]])=0)," R5 - Successful Transaction Not Settled", "")</f>
        <v/>
      </c>
      <c r="N144" t="str">
        <f>IF(AND(COUNTIF(tblSettlement[TransactionID],tblTransactions[[#This Row],[TransactionID]])&gt;0,tblTransactions[[#This Row],[Amount]]&lt;&gt;SUMIF(tblSettlement[TransactionID],tblTransactions[[#This Row],[TransactionID]],tblSettlement[SettledAmount]))," R6 - Settlement Amount Mismatch", "")</f>
        <v/>
      </c>
      <c r="O144" t="str">
        <f>IF(AND(tblTransactions[[#This Row],[CustomerRef]] &lt;&gt;"",COUNTIFS(tblTransactions[CustomerRef],tblTransactions[[#This Row],[CustomerRef]],tblTransactions[Amount],tblTransactions[[#This Row],[Amount]],tblTransactions[Date],tblTransactions[[#This Row],[Date]])&gt;1),"Yes","No")</f>
        <v>No</v>
      </c>
    </row>
    <row r="145" spans="1:15" x14ac:dyDescent="0.3">
      <c r="A145" t="s">
        <v>436</v>
      </c>
      <c r="B145" s="2">
        <v>46264.65902777778</v>
      </c>
      <c r="C145" t="s">
        <v>43</v>
      </c>
      <c r="D145" t="s">
        <v>15</v>
      </c>
      <c r="E145" s="6">
        <v>27312.41</v>
      </c>
      <c r="F145" t="s">
        <v>11</v>
      </c>
      <c r="G145" t="s">
        <v>437</v>
      </c>
      <c r="H145" t="s">
        <v>438</v>
      </c>
      <c r="I145" s="116">
        <f>INT(tblTransactions[[#This Row],[TransactionDate]])</f>
        <v>46264</v>
      </c>
      <c r="J145" t="str">
        <f>IF(tblTransactions[[#This Row],[ApprovalID]]="", "R2 - Missing Approval Reference", "")</f>
        <v/>
      </c>
      <c r="K145" t="str">
        <f>IF(AND(tblTransactions[[#This Row],[ApprovalID]]&lt;&gt;"",COUNTIFS(tblApprovals[TransactionID],tblTransactions[[#This Row],[TransactionID]],tblApprovals[ApprovalID],tblTransactions[[#This Row],[ApprovalID]])=0),"R3 - Missing or Mismatched Approval Record", "")</f>
        <v/>
      </c>
      <c r="L14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5" t="str">
        <f>IF(AND(tblTransactions[[#This Row],[TransactionStatus]]="Success",COUNTIF(tblSettlement[TransactionID],tblTransactions[[#This Row],[TransactionID]])=0)," R5 - Successful Transaction Not Settled", "")</f>
        <v/>
      </c>
      <c r="N145" t="str">
        <f>IF(AND(COUNTIF(tblSettlement[TransactionID],tblTransactions[[#This Row],[TransactionID]])&gt;0,tblTransactions[[#This Row],[Amount]]&lt;&gt;SUMIF(tblSettlement[TransactionID],tblTransactions[[#This Row],[TransactionID]],tblSettlement[SettledAmount]))," R6 - Settlement Amount Mismatch", "")</f>
        <v/>
      </c>
      <c r="O145" t="str">
        <f>IF(AND(tblTransactions[[#This Row],[CustomerRef]] &lt;&gt;"",COUNTIFS(tblTransactions[CustomerRef],tblTransactions[[#This Row],[CustomerRef]],tblTransactions[Amount],tblTransactions[[#This Row],[Amount]],tblTransactions[Date],tblTransactions[[#This Row],[Date]])&gt;1),"Yes","No")</f>
        <v>No</v>
      </c>
    </row>
    <row r="146" spans="1:15" x14ac:dyDescent="0.3">
      <c r="A146" t="s">
        <v>439</v>
      </c>
      <c r="B146" s="2">
        <v>46288.679861111108</v>
      </c>
      <c r="C146" t="s">
        <v>47</v>
      </c>
      <c r="D146" t="s">
        <v>29</v>
      </c>
      <c r="E146" s="6">
        <v>34488.68</v>
      </c>
      <c r="F146" t="s">
        <v>111</v>
      </c>
      <c r="G146" t="s">
        <v>440</v>
      </c>
      <c r="H146" t="s">
        <v>441</v>
      </c>
      <c r="I146" s="116">
        <f>INT(tblTransactions[[#This Row],[TransactionDate]])</f>
        <v>46288</v>
      </c>
      <c r="J146" t="str">
        <f>IF(tblTransactions[[#This Row],[ApprovalID]]="", "R2 - Missing Approval Reference", "")</f>
        <v/>
      </c>
      <c r="K146" t="str">
        <f>IF(AND(tblTransactions[[#This Row],[ApprovalID]]&lt;&gt;"",COUNTIFS(tblApprovals[TransactionID],tblTransactions[[#This Row],[TransactionID]],tblApprovals[ApprovalID],tblTransactions[[#This Row],[ApprovalID]])=0),"R3 - Missing or Mismatched Approval Record", "")</f>
        <v/>
      </c>
      <c r="L14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6" t="str">
        <f>IF(AND(tblTransactions[[#This Row],[TransactionStatus]]="Success",COUNTIF(tblSettlement[TransactionID],tblTransactions[[#This Row],[TransactionID]])=0)," R5 - Successful Transaction Not Settled", "")</f>
        <v/>
      </c>
      <c r="N146" t="str">
        <f>IF(AND(COUNTIF(tblSettlement[TransactionID],tblTransactions[[#This Row],[TransactionID]])&gt;0,tblTransactions[[#This Row],[Amount]]&lt;&gt;SUMIF(tblSettlement[TransactionID],tblTransactions[[#This Row],[TransactionID]],tblSettlement[SettledAmount]))," R6 - Settlement Amount Mismatch", "")</f>
        <v/>
      </c>
      <c r="O146" t="str">
        <f>IF(AND(tblTransactions[[#This Row],[CustomerRef]] &lt;&gt;"",COUNTIFS(tblTransactions[CustomerRef],tblTransactions[[#This Row],[CustomerRef]],tblTransactions[Amount],tblTransactions[[#This Row],[Amount]],tblTransactions[Date],tblTransactions[[#This Row],[Date]])&gt;1),"Yes","No")</f>
        <v>No</v>
      </c>
    </row>
    <row r="147" spans="1:15" x14ac:dyDescent="0.3">
      <c r="A147" t="s">
        <v>442</v>
      </c>
      <c r="B147" s="2">
        <v>46291.396527777775</v>
      </c>
      <c r="C147" t="s">
        <v>47</v>
      </c>
      <c r="D147" t="s">
        <v>20</v>
      </c>
      <c r="E147" s="6">
        <v>53502</v>
      </c>
      <c r="F147" t="s">
        <v>11</v>
      </c>
      <c r="G147" t="s">
        <v>443</v>
      </c>
      <c r="H147" t="s">
        <v>444</v>
      </c>
      <c r="I147" s="116">
        <f>INT(tblTransactions[[#This Row],[TransactionDate]])</f>
        <v>46291</v>
      </c>
      <c r="J147" t="str">
        <f>IF(tblTransactions[[#This Row],[ApprovalID]]="", "R2 - Missing Approval Reference", "")</f>
        <v/>
      </c>
      <c r="K147" t="str">
        <f>IF(AND(tblTransactions[[#This Row],[ApprovalID]]&lt;&gt;"",COUNTIFS(tblApprovals[TransactionID],tblTransactions[[#This Row],[TransactionID]],tblApprovals[ApprovalID],tblTransactions[[#This Row],[ApprovalID]])=0),"R3 - Missing or Mismatched Approval Record", "")</f>
        <v/>
      </c>
      <c r="L14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7" t="str">
        <f>IF(AND(tblTransactions[[#This Row],[TransactionStatus]]="Success",COUNTIF(tblSettlement[TransactionID],tblTransactions[[#This Row],[TransactionID]])=0)," R5 - Successful Transaction Not Settled", "")</f>
        <v/>
      </c>
      <c r="N147" t="str">
        <f>IF(AND(COUNTIF(tblSettlement[TransactionID],tblTransactions[[#This Row],[TransactionID]])&gt;0,tblTransactions[[#This Row],[Amount]]&lt;&gt;SUMIF(tblSettlement[TransactionID],tblTransactions[[#This Row],[TransactionID]],tblSettlement[SettledAmount]))," R6 - Settlement Amount Mismatch", "")</f>
        <v/>
      </c>
      <c r="O147" t="str">
        <f>IF(AND(tblTransactions[[#This Row],[CustomerRef]] &lt;&gt;"",COUNTIFS(tblTransactions[CustomerRef],tblTransactions[[#This Row],[CustomerRef]],tblTransactions[Amount],tblTransactions[[#This Row],[Amount]],tblTransactions[Date],tblTransactions[[#This Row],[Date]])&gt;1),"Yes","No")</f>
        <v>No</v>
      </c>
    </row>
    <row r="148" spans="1:15" x14ac:dyDescent="0.3">
      <c r="A148" t="s">
        <v>445</v>
      </c>
      <c r="B148" s="2">
        <v>46220.527083333334</v>
      </c>
      <c r="C148" t="s">
        <v>24</v>
      </c>
      <c r="D148" t="s">
        <v>29</v>
      </c>
      <c r="E148" s="6">
        <v>47572.49</v>
      </c>
      <c r="F148" t="s">
        <v>11</v>
      </c>
      <c r="G148" t="s">
        <v>446</v>
      </c>
      <c r="H148" t="s">
        <v>447</v>
      </c>
      <c r="I148" s="116">
        <f>INT(tblTransactions[[#This Row],[TransactionDate]])</f>
        <v>46220</v>
      </c>
      <c r="J148" t="str">
        <f>IF(tblTransactions[[#This Row],[ApprovalID]]="", "R2 - Missing Approval Reference", "")</f>
        <v/>
      </c>
      <c r="K148" t="str">
        <f>IF(AND(tblTransactions[[#This Row],[ApprovalID]]&lt;&gt;"",COUNTIFS(tblApprovals[TransactionID],tblTransactions[[#This Row],[TransactionID]],tblApprovals[ApprovalID],tblTransactions[[#This Row],[ApprovalID]])=0),"R3 - Missing or Mismatched Approval Record", "")</f>
        <v/>
      </c>
      <c r="L14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148" t="str">
        <f>IF(AND(tblTransactions[[#This Row],[TransactionStatus]]="Success",COUNTIF(tblSettlement[TransactionID],tblTransactions[[#This Row],[TransactionID]])=0)," R5 - Successful Transaction Not Settled", "")</f>
        <v/>
      </c>
      <c r="N148" t="str">
        <f>IF(AND(COUNTIF(tblSettlement[TransactionID],tblTransactions[[#This Row],[TransactionID]])&gt;0,tblTransactions[[#This Row],[Amount]]&lt;&gt;SUMIF(tblSettlement[TransactionID],tblTransactions[[#This Row],[TransactionID]],tblSettlement[SettledAmount]))," R6 - Settlement Amount Mismatch", "")</f>
        <v/>
      </c>
      <c r="O148" t="str">
        <f>IF(AND(tblTransactions[[#This Row],[CustomerRef]] &lt;&gt;"",COUNTIFS(tblTransactions[CustomerRef],tblTransactions[[#This Row],[CustomerRef]],tblTransactions[Amount],tblTransactions[[#This Row],[Amount]],tblTransactions[Date],tblTransactions[[#This Row],[Date]])&gt;1),"Yes","No")</f>
        <v>No</v>
      </c>
    </row>
    <row r="149" spans="1:15" x14ac:dyDescent="0.3">
      <c r="A149" t="s">
        <v>448</v>
      </c>
      <c r="B149" s="2">
        <v>46241.647222222222</v>
      </c>
      <c r="C149" t="s">
        <v>28</v>
      </c>
      <c r="D149" t="s">
        <v>10</v>
      </c>
      <c r="E149" s="6">
        <v>45505.65</v>
      </c>
      <c r="F149" t="s">
        <v>11</v>
      </c>
      <c r="G149" t="s">
        <v>449</v>
      </c>
      <c r="H149" t="s">
        <v>450</v>
      </c>
      <c r="I149" s="116">
        <f>INT(tblTransactions[[#This Row],[TransactionDate]])</f>
        <v>46241</v>
      </c>
      <c r="J149" t="str">
        <f>IF(tblTransactions[[#This Row],[ApprovalID]]="", "R2 - Missing Approval Reference", "")</f>
        <v/>
      </c>
      <c r="K149" t="str">
        <f>IF(AND(tblTransactions[[#This Row],[ApprovalID]]&lt;&gt;"",COUNTIFS(tblApprovals[TransactionID],tblTransactions[[#This Row],[TransactionID]],tblApprovals[ApprovalID],tblTransactions[[#This Row],[ApprovalID]])=0),"R3 - Missing or Mismatched Approval Record", "")</f>
        <v/>
      </c>
      <c r="L14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49" t="str">
        <f>IF(AND(tblTransactions[[#This Row],[TransactionStatus]]="Success",COUNTIF(tblSettlement[TransactionID],tblTransactions[[#This Row],[TransactionID]])=0)," R5 - Successful Transaction Not Settled", "")</f>
        <v/>
      </c>
      <c r="N149" t="str">
        <f>IF(AND(COUNTIF(tblSettlement[TransactionID],tblTransactions[[#This Row],[TransactionID]])&gt;0,tblTransactions[[#This Row],[Amount]]&lt;&gt;SUMIF(tblSettlement[TransactionID],tblTransactions[[#This Row],[TransactionID]],tblSettlement[SettledAmount]))," R6 - Settlement Amount Mismatch", "")</f>
        <v/>
      </c>
      <c r="O149" t="str">
        <f>IF(AND(tblTransactions[[#This Row],[CustomerRef]] &lt;&gt;"",COUNTIFS(tblTransactions[CustomerRef],tblTransactions[[#This Row],[CustomerRef]],tblTransactions[Amount],tblTransactions[[#This Row],[Amount]],tblTransactions[Date],tblTransactions[[#This Row],[Date]])&gt;1),"Yes","No")</f>
        <v>No</v>
      </c>
    </row>
    <row r="150" spans="1:15" x14ac:dyDescent="0.3">
      <c r="A150" t="s">
        <v>451</v>
      </c>
      <c r="B150" s="2">
        <v>46259.663888888892</v>
      </c>
      <c r="C150" t="s">
        <v>43</v>
      </c>
      <c r="D150" t="s">
        <v>29</v>
      </c>
      <c r="E150" s="6">
        <v>17329.89</v>
      </c>
      <c r="F150" t="s">
        <v>11</v>
      </c>
      <c r="G150" t="s">
        <v>452</v>
      </c>
      <c r="H150" t="s">
        <v>453</v>
      </c>
      <c r="I150" s="116">
        <f>INT(tblTransactions[[#This Row],[TransactionDate]])</f>
        <v>46259</v>
      </c>
      <c r="J150" t="str">
        <f>IF(tblTransactions[[#This Row],[ApprovalID]]="", "R2 - Missing Approval Reference", "")</f>
        <v/>
      </c>
      <c r="K150" t="str">
        <f>IF(AND(tblTransactions[[#This Row],[ApprovalID]]&lt;&gt;"",COUNTIFS(tblApprovals[TransactionID],tblTransactions[[#This Row],[TransactionID]],tblApprovals[ApprovalID],tblTransactions[[#This Row],[ApprovalID]])=0),"R3 - Missing or Mismatched Approval Record", "")</f>
        <v/>
      </c>
      <c r="L15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0" t="str">
        <f>IF(AND(tblTransactions[[#This Row],[TransactionStatus]]="Success",COUNTIF(tblSettlement[TransactionID],tblTransactions[[#This Row],[TransactionID]])=0)," R5 - Successful Transaction Not Settled", "")</f>
        <v/>
      </c>
      <c r="N150" t="str">
        <f>IF(AND(COUNTIF(tblSettlement[TransactionID],tblTransactions[[#This Row],[TransactionID]])&gt;0,tblTransactions[[#This Row],[Amount]]&lt;&gt;SUMIF(tblSettlement[TransactionID],tblTransactions[[#This Row],[TransactionID]],tblSettlement[SettledAmount]))," R6 - Settlement Amount Mismatch", "")</f>
        <v/>
      </c>
      <c r="O150" t="str">
        <f>IF(AND(tblTransactions[[#This Row],[CustomerRef]] &lt;&gt;"",COUNTIFS(tblTransactions[CustomerRef],tblTransactions[[#This Row],[CustomerRef]],tblTransactions[Amount],tblTransactions[[#This Row],[Amount]],tblTransactions[Date],tblTransactions[[#This Row],[Date]])&gt;1),"Yes","No")</f>
        <v>No</v>
      </c>
    </row>
    <row r="151" spans="1:15" x14ac:dyDescent="0.3">
      <c r="A151" t="s">
        <v>454</v>
      </c>
      <c r="B151" s="2">
        <v>46244.597222222219</v>
      </c>
      <c r="C151" t="s">
        <v>9</v>
      </c>
      <c r="D151" t="s">
        <v>29</v>
      </c>
      <c r="E151" s="6">
        <v>49966.81</v>
      </c>
      <c r="F151" t="s">
        <v>11</v>
      </c>
      <c r="H151" t="s">
        <v>455</v>
      </c>
      <c r="I151" s="116">
        <f>INT(tblTransactions[[#This Row],[TransactionDate]])</f>
        <v>46244</v>
      </c>
      <c r="J151" t="str">
        <f>IF(tblTransactions[[#This Row],[ApprovalID]]="", "R2 - Missing Approval Reference", "")</f>
        <v>R2 - Missing Approval Reference</v>
      </c>
      <c r="K151" t="str">
        <f>IF(AND(tblTransactions[[#This Row],[ApprovalID]]&lt;&gt;"",COUNTIFS(tblApprovals[TransactionID],tblTransactions[[#This Row],[TransactionID]],tblApprovals[ApprovalID],tblTransactions[[#This Row],[ApprovalID]])=0),"R3 - Missing or Mismatched Approval Record", "")</f>
        <v/>
      </c>
      <c r="L15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1" t="str">
        <f>IF(AND(tblTransactions[[#This Row],[TransactionStatus]]="Success",COUNTIF(tblSettlement[TransactionID],tblTransactions[[#This Row],[TransactionID]])=0)," R5 - Successful Transaction Not Settled", "")</f>
        <v/>
      </c>
      <c r="N151" t="str">
        <f>IF(AND(COUNTIF(tblSettlement[TransactionID],tblTransactions[[#This Row],[TransactionID]])&gt;0,tblTransactions[[#This Row],[Amount]]&lt;&gt;SUMIF(tblSettlement[TransactionID],tblTransactions[[#This Row],[TransactionID]],tblSettlement[SettledAmount]))," R6 - Settlement Amount Mismatch", "")</f>
        <v/>
      </c>
      <c r="O151" t="str">
        <f>IF(AND(tblTransactions[[#This Row],[CustomerRef]] &lt;&gt;"",COUNTIFS(tblTransactions[CustomerRef],tblTransactions[[#This Row],[CustomerRef]],tblTransactions[Amount],tblTransactions[[#This Row],[Amount]],tblTransactions[Date],tblTransactions[[#This Row],[Date]])&gt;1),"Yes","No")</f>
        <v>No</v>
      </c>
    </row>
    <row r="152" spans="1:15" x14ac:dyDescent="0.3">
      <c r="A152" t="s">
        <v>456</v>
      </c>
      <c r="B152" s="2">
        <v>46215.587500000001</v>
      </c>
      <c r="C152" t="s">
        <v>9</v>
      </c>
      <c r="D152" t="s">
        <v>15</v>
      </c>
      <c r="E152" s="6">
        <v>55908.03</v>
      </c>
      <c r="F152" t="s">
        <v>11</v>
      </c>
      <c r="H152" t="s">
        <v>457</v>
      </c>
      <c r="I152" s="116">
        <f>INT(tblTransactions[[#This Row],[TransactionDate]])</f>
        <v>46215</v>
      </c>
      <c r="J152" t="str">
        <f>IF(tblTransactions[[#This Row],[ApprovalID]]="", "R2 - Missing Approval Reference", "")</f>
        <v>R2 - Missing Approval Reference</v>
      </c>
      <c r="K152" t="str">
        <f>IF(AND(tblTransactions[[#This Row],[ApprovalID]]&lt;&gt;"",COUNTIFS(tblApprovals[TransactionID],tblTransactions[[#This Row],[TransactionID]],tblApprovals[ApprovalID],tblTransactions[[#This Row],[ApprovalID]])=0),"R3 - Missing or Mismatched Approval Record", "")</f>
        <v/>
      </c>
      <c r="L15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2" t="str">
        <f>IF(AND(tblTransactions[[#This Row],[TransactionStatus]]="Success",COUNTIF(tblSettlement[TransactionID],tblTransactions[[#This Row],[TransactionID]])=0)," R5 - Successful Transaction Not Settled", "")</f>
        <v/>
      </c>
      <c r="N152" t="str">
        <f>IF(AND(COUNTIF(tblSettlement[TransactionID],tblTransactions[[#This Row],[TransactionID]])&gt;0,tblTransactions[[#This Row],[Amount]]&lt;&gt;SUMIF(tblSettlement[TransactionID],tblTransactions[[#This Row],[TransactionID]],tblSettlement[SettledAmount]))," R6 - Settlement Amount Mismatch", "")</f>
        <v/>
      </c>
      <c r="O152" t="str">
        <f>IF(AND(tblTransactions[[#This Row],[CustomerRef]] &lt;&gt;"",COUNTIFS(tblTransactions[CustomerRef],tblTransactions[[#This Row],[CustomerRef]],tblTransactions[Amount],tblTransactions[[#This Row],[Amount]],tblTransactions[Date],tblTransactions[[#This Row],[Date]])&gt;1),"Yes","No")</f>
        <v>No</v>
      </c>
    </row>
    <row r="153" spans="1:15" x14ac:dyDescent="0.3">
      <c r="A153" t="s">
        <v>458</v>
      </c>
      <c r="B153" s="2">
        <v>46289.393055555556</v>
      </c>
      <c r="C153" t="s">
        <v>43</v>
      </c>
      <c r="D153" t="s">
        <v>10</v>
      </c>
      <c r="E153" s="6">
        <v>26681.46</v>
      </c>
      <c r="F153" t="s">
        <v>11</v>
      </c>
      <c r="G153" t="s">
        <v>459</v>
      </c>
      <c r="H153" t="s">
        <v>460</v>
      </c>
      <c r="I153" s="116">
        <f>INT(tblTransactions[[#This Row],[TransactionDate]])</f>
        <v>46289</v>
      </c>
      <c r="J153" t="str">
        <f>IF(tblTransactions[[#This Row],[ApprovalID]]="", "R2 - Missing Approval Reference", "")</f>
        <v/>
      </c>
      <c r="K153" t="str">
        <f>IF(AND(tblTransactions[[#This Row],[ApprovalID]]&lt;&gt;"",COUNTIFS(tblApprovals[TransactionID],tblTransactions[[#This Row],[TransactionID]],tblApprovals[ApprovalID],tblTransactions[[#This Row],[ApprovalID]])=0),"R3 - Missing or Mismatched Approval Record", "")</f>
        <v/>
      </c>
      <c r="L15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3" t="str">
        <f>IF(AND(tblTransactions[[#This Row],[TransactionStatus]]="Success",COUNTIF(tblSettlement[TransactionID],tblTransactions[[#This Row],[TransactionID]])=0)," R5 - Successful Transaction Not Settled", "")</f>
        <v/>
      </c>
      <c r="N153" t="str">
        <f>IF(AND(COUNTIF(tblSettlement[TransactionID],tblTransactions[[#This Row],[TransactionID]])&gt;0,tblTransactions[[#This Row],[Amount]]&lt;&gt;SUMIF(tblSettlement[TransactionID],tblTransactions[[#This Row],[TransactionID]],tblSettlement[SettledAmount]))," R6 - Settlement Amount Mismatch", "")</f>
        <v/>
      </c>
      <c r="O153" t="str">
        <f>IF(AND(tblTransactions[[#This Row],[CustomerRef]] &lt;&gt;"",COUNTIFS(tblTransactions[CustomerRef],tblTransactions[[#This Row],[CustomerRef]],tblTransactions[Amount],tblTransactions[[#This Row],[Amount]],tblTransactions[Date],tblTransactions[[#This Row],[Date]])&gt;1),"Yes","No")</f>
        <v>No</v>
      </c>
    </row>
    <row r="154" spans="1:15" x14ac:dyDescent="0.3">
      <c r="A154" t="s">
        <v>461</v>
      </c>
      <c r="B154" s="2">
        <v>46249.4</v>
      </c>
      <c r="C154" t="s">
        <v>43</v>
      </c>
      <c r="D154" t="s">
        <v>69</v>
      </c>
      <c r="E154" s="6">
        <v>38179.089999999997</v>
      </c>
      <c r="F154" t="s">
        <v>11</v>
      </c>
      <c r="G154" t="s">
        <v>462</v>
      </c>
      <c r="H154" t="s">
        <v>463</v>
      </c>
      <c r="I154" s="116">
        <f>INT(tblTransactions[[#This Row],[TransactionDate]])</f>
        <v>46249</v>
      </c>
      <c r="J154" t="str">
        <f>IF(tblTransactions[[#This Row],[ApprovalID]]="", "R2 - Missing Approval Reference", "")</f>
        <v/>
      </c>
      <c r="K154" t="str">
        <f>IF(AND(tblTransactions[[#This Row],[ApprovalID]]&lt;&gt;"",COUNTIFS(tblApprovals[TransactionID],tblTransactions[[#This Row],[TransactionID]],tblApprovals[ApprovalID],tblTransactions[[#This Row],[ApprovalID]])=0),"R3 - Missing or Mismatched Approval Record", "")</f>
        <v/>
      </c>
      <c r="L15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4" t="str">
        <f>IF(AND(tblTransactions[[#This Row],[TransactionStatus]]="Success",COUNTIF(tblSettlement[TransactionID],tblTransactions[[#This Row],[TransactionID]])=0)," R5 - Successful Transaction Not Settled", "")</f>
        <v/>
      </c>
      <c r="N154" t="str">
        <f>IF(AND(COUNTIF(tblSettlement[TransactionID],tblTransactions[[#This Row],[TransactionID]])&gt;0,tblTransactions[[#This Row],[Amount]]&lt;&gt;SUMIF(tblSettlement[TransactionID],tblTransactions[[#This Row],[TransactionID]],tblSettlement[SettledAmount]))," R6 - Settlement Amount Mismatch", "")</f>
        <v/>
      </c>
      <c r="O154" t="str">
        <f>IF(AND(tblTransactions[[#This Row],[CustomerRef]] &lt;&gt;"",COUNTIFS(tblTransactions[CustomerRef],tblTransactions[[#This Row],[CustomerRef]],tblTransactions[Amount],tblTransactions[[#This Row],[Amount]],tblTransactions[Date],tblTransactions[[#This Row],[Date]])&gt;1),"Yes","No")</f>
        <v>No</v>
      </c>
    </row>
    <row r="155" spans="1:15" x14ac:dyDescent="0.3">
      <c r="A155" t="s">
        <v>464</v>
      </c>
      <c r="B155" s="2">
        <v>46275.546527777777</v>
      </c>
      <c r="C155" t="s">
        <v>43</v>
      </c>
      <c r="D155" t="s">
        <v>15</v>
      </c>
      <c r="E155" s="6">
        <v>57254.77</v>
      </c>
      <c r="F155" t="s">
        <v>11</v>
      </c>
      <c r="G155" t="s">
        <v>465</v>
      </c>
      <c r="H155" t="s">
        <v>466</v>
      </c>
      <c r="I155" s="116">
        <f>INT(tblTransactions[[#This Row],[TransactionDate]])</f>
        <v>46275</v>
      </c>
      <c r="J155" t="str">
        <f>IF(tblTransactions[[#This Row],[ApprovalID]]="", "R2 - Missing Approval Reference", "")</f>
        <v/>
      </c>
      <c r="K155" t="str">
        <f>IF(AND(tblTransactions[[#This Row],[ApprovalID]]&lt;&gt;"",COUNTIFS(tblApprovals[TransactionID],tblTransactions[[#This Row],[TransactionID]],tblApprovals[ApprovalID],tblTransactions[[#This Row],[ApprovalID]])=0),"R3 - Missing or Mismatched Approval Record", "")</f>
        <v/>
      </c>
      <c r="L15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5" t="str">
        <f>IF(AND(tblTransactions[[#This Row],[TransactionStatus]]="Success",COUNTIF(tblSettlement[TransactionID],tblTransactions[[#This Row],[TransactionID]])=0)," R5 - Successful Transaction Not Settled", "")</f>
        <v/>
      </c>
      <c r="N155" t="str">
        <f>IF(AND(COUNTIF(tblSettlement[TransactionID],tblTransactions[[#This Row],[TransactionID]])&gt;0,tblTransactions[[#This Row],[Amount]]&lt;&gt;SUMIF(tblSettlement[TransactionID],tblTransactions[[#This Row],[TransactionID]],tblSettlement[SettledAmount]))," R6 - Settlement Amount Mismatch", "")</f>
        <v/>
      </c>
      <c r="O155" t="str">
        <f>IF(AND(tblTransactions[[#This Row],[CustomerRef]] &lt;&gt;"",COUNTIFS(tblTransactions[CustomerRef],tblTransactions[[#This Row],[CustomerRef]],tblTransactions[Amount],tblTransactions[[#This Row],[Amount]],tblTransactions[Date],tblTransactions[[#This Row],[Date]])&gt;1),"Yes","No")</f>
        <v>No</v>
      </c>
    </row>
    <row r="156" spans="1:15" x14ac:dyDescent="0.3">
      <c r="A156" t="s">
        <v>467</v>
      </c>
      <c r="B156" s="2">
        <v>46281.945833333331</v>
      </c>
      <c r="C156" t="s">
        <v>9</v>
      </c>
      <c r="D156" t="s">
        <v>20</v>
      </c>
      <c r="E156" s="6">
        <v>62252.19</v>
      </c>
      <c r="F156" t="s">
        <v>11</v>
      </c>
      <c r="G156" t="s">
        <v>468</v>
      </c>
      <c r="H156" t="s">
        <v>469</v>
      </c>
      <c r="I156" s="116">
        <f>INT(tblTransactions[[#This Row],[TransactionDate]])</f>
        <v>46281</v>
      </c>
      <c r="J156" t="str">
        <f>IF(tblTransactions[[#This Row],[ApprovalID]]="", "R2 - Missing Approval Reference", "")</f>
        <v/>
      </c>
      <c r="K156" t="str">
        <f>IF(AND(tblTransactions[[#This Row],[ApprovalID]]&lt;&gt;"",COUNTIFS(tblApprovals[TransactionID],tblTransactions[[#This Row],[TransactionID]],tblApprovals[ApprovalID],tblTransactions[[#This Row],[ApprovalID]])=0),"R3 - Missing or Mismatched Approval Record", "")</f>
        <v/>
      </c>
      <c r="L15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6" t="str">
        <f>IF(AND(tblTransactions[[#This Row],[TransactionStatus]]="Success",COUNTIF(tblSettlement[TransactionID],tblTransactions[[#This Row],[TransactionID]])=0)," R5 - Successful Transaction Not Settled", "")</f>
        <v/>
      </c>
      <c r="N156" t="str">
        <f>IF(AND(COUNTIF(tblSettlement[TransactionID],tblTransactions[[#This Row],[TransactionID]])&gt;0,tblTransactions[[#This Row],[Amount]]&lt;&gt;SUMIF(tblSettlement[TransactionID],tblTransactions[[#This Row],[TransactionID]],tblSettlement[SettledAmount]))," R6 - Settlement Amount Mismatch", "")</f>
        <v/>
      </c>
      <c r="O156" t="str">
        <f>IF(AND(tblTransactions[[#This Row],[CustomerRef]] &lt;&gt;"",COUNTIFS(tblTransactions[CustomerRef],tblTransactions[[#This Row],[CustomerRef]],tblTransactions[Amount],tblTransactions[[#This Row],[Amount]],tblTransactions[Date],tblTransactions[[#This Row],[Date]])&gt;1),"Yes","No")</f>
        <v>No</v>
      </c>
    </row>
    <row r="157" spans="1:15" x14ac:dyDescent="0.3">
      <c r="A157" t="s">
        <v>470</v>
      </c>
      <c r="B157" s="2">
        <v>46247.541666666664</v>
      </c>
      <c r="C157" t="s">
        <v>28</v>
      </c>
      <c r="D157" t="s">
        <v>29</v>
      </c>
      <c r="E157" s="6">
        <v>13810.07</v>
      </c>
      <c r="F157" t="s">
        <v>11</v>
      </c>
      <c r="H157" t="s">
        <v>471</v>
      </c>
      <c r="I157" s="116">
        <f>INT(tblTransactions[[#This Row],[TransactionDate]])</f>
        <v>46247</v>
      </c>
      <c r="J157" t="str">
        <f>IF(tblTransactions[[#This Row],[ApprovalID]]="", "R2 - Missing Approval Reference", "")</f>
        <v>R2 - Missing Approval Reference</v>
      </c>
      <c r="K157" t="str">
        <f>IF(AND(tblTransactions[[#This Row],[ApprovalID]]&lt;&gt;"",COUNTIFS(tblApprovals[TransactionID],tblTransactions[[#This Row],[TransactionID]],tblApprovals[ApprovalID],tblTransactions[[#This Row],[ApprovalID]])=0),"R3 - Missing or Mismatched Approval Record", "")</f>
        <v/>
      </c>
      <c r="L15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7" t="str">
        <f>IF(AND(tblTransactions[[#This Row],[TransactionStatus]]="Success",COUNTIF(tblSettlement[TransactionID],tblTransactions[[#This Row],[TransactionID]])=0)," R5 - Successful Transaction Not Settled", "")</f>
        <v/>
      </c>
      <c r="N157" t="str">
        <f>IF(AND(COUNTIF(tblSettlement[TransactionID],tblTransactions[[#This Row],[TransactionID]])&gt;0,tblTransactions[[#This Row],[Amount]]&lt;&gt;SUMIF(tblSettlement[TransactionID],tblTransactions[[#This Row],[TransactionID]],tblSettlement[SettledAmount]))," R6 - Settlement Amount Mismatch", "")</f>
        <v/>
      </c>
      <c r="O157" t="str">
        <f>IF(AND(tblTransactions[[#This Row],[CustomerRef]] &lt;&gt;"",COUNTIFS(tblTransactions[CustomerRef],tblTransactions[[#This Row],[CustomerRef]],tblTransactions[Amount],tblTransactions[[#This Row],[Amount]],tblTransactions[Date],tblTransactions[[#This Row],[Date]])&gt;1),"Yes","No")</f>
        <v>No</v>
      </c>
    </row>
    <row r="158" spans="1:15" x14ac:dyDescent="0.3">
      <c r="A158" t="s">
        <v>472</v>
      </c>
      <c r="B158" s="2">
        <v>46215.814583333333</v>
      </c>
      <c r="C158" t="s">
        <v>24</v>
      </c>
      <c r="D158" t="s">
        <v>69</v>
      </c>
      <c r="E158" s="6">
        <v>16331.18</v>
      </c>
      <c r="F158" t="s">
        <v>11</v>
      </c>
      <c r="G158" t="s">
        <v>473</v>
      </c>
      <c r="H158" t="s">
        <v>474</v>
      </c>
      <c r="I158" s="116">
        <f>INT(tblTransactions[[#This Row],[TransactionDate]])</f>
        <v>46215</v>
      </c>
      <c r="J158" t="str">
        <f>IF(tblTransactions[[#This Row],[ApprovalID]]="", "R2 - Missing Approval Reference", "")</f>
        <v/>
      </c>
      <c r="K158" t="str">
        <f>IF(AND(tblTransactions[[#This Row],[ApprovalID]]&lt;&gt;"",COUNTIFS(tblApprovals[TransactionID],tblTransactions[[#This Row],[TransactionID]],tblApprovals[ApprovalID],tblTransactions[[#This Row],[ApprovalID]])=0),"R3 - Missing or Mismatched Approval Record", "")</f>
        <v/>
      </c>
      <c r="L15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8" t="str">
        <f>IF(AND(tblTransactions[[#This Row],[TransactionStatus]]="Success",COUNTIF(tblSettlement[TransactionID],tblTransactions[[#This Row],[TransactionID]])=0)," R5 - Successful Transaction Not Settled", "")</f>
        <v/>
      </c>
      <c r="N158" t="str">
        <f>IF(AND(COUNTIF(tblSettlement[TransactionID],tblTransactions[[#This Row],[TransactionID]])&gt;0,tblTransactions[[#This Row],[Amount]]&lt;&gt;SUMIF(tblSettlement[TransactionID],tblTransactions[[#This Row],[TransactionID]],tblSettlement[SettledAmount]))," R6 - Settlement Amount Mismatch", "")</f>
        <v/>
      </c>
      <c r="O158" t="str">
        <f>IF(AND(tblTransactions[[#This Row],[CustomerRef]] &lt;&gt;"",COUNTIFS(tblTransactions[CustomerRef],tblTransactions[[#This Row],[CustomerRef]],tblTransactions[Amount],tblTransactions[[#This Row],[Amount]],tblTransactions[Date],tblTransactions[[#This Row],[Date]])&gt;1),"Yes","No")</f>
        <v>No</v>
      </c>
    </row>
    <row r="159" spans="1:15" x14ac:dyDescent="0.3">
      <c r="A159" t="s">
        <v>475</v>
      </c>
      <c r="B159" s="2">
        <v>46276.711805555555</v>
      </c>
      <c r="C159" t="s">
        <v>19</v>
      </c>
      <c r="D159" t="s">
        <v>10</v>
      </c>
      <c r="E159" s="6">
        <v>66279.83</v>
      </c>
      <c r="F159" t="s">
        <v>11</v>
      </c>
      <c r="G159" t="s">
        <v>476</v>
      </c>
      <c r="H159" t="s">
        <v>477</v>
      </c>
      <c r="I159" s="116">
        <f>INT(tblTransactions[[#This Row],[TransactionDate]])</f>
        <v>46276</v>
      </c>
      <c r="J159" t="str">
        <f>IF(tblTransactions[[#This Row],[ApprovalID]]="", "R2 - Missing Approval Reference", "")</f>
        <v/>
      </c>
      <c r="K159" t="str">
        <f>IF(AND(tblTransactions[[#This Row],[ApprovalID]]&lt;&gt;"",COUNTIFS(tblApprovals[TransactionID],tblTransactions[[#This Row],[TransactionID]],tblApprovals[ApprovalID],tblTransactions[[#This Row],[ApprovalID]])=0),"R3 - Missing or Mismatched Approval Record", "")</f>
        <v/>
      </c>
      <c r="L15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59" t="str">
        <f>IF(AND(tblTransactions[[#This Row],[TransactionStatus]]="Success",COUNTIF(tblSettlement[TransactionID],tblTransactions[[#This Row],[TransactionID]])=0)," R5 - Successful Transaction Not Settled", "")</f>
        <v/>
      </c>
      <c r="N159" t="str">
        <f>IF(AND(COUNTIF(tblSettlement[TransactionID],tblTransactions[[#This Row],[TransactionID]])&gt;0,tblTransactions[[#This Row],[Amount]]&lt;&gt;SUMIF(tblSettlement[TransactionID],tblTransactions[[#This Row],[TransactionID]],tblSettlement[SettledAmount]))," R6 - Settlement Amount Mismatch", "")</f>
        <v/>
      </c>
      <c r="O159" t="str">
        <f>IF(AND(tblTransactions[[#This Row],[CustomerRef]] &lt;&gt;"",COUNTIFS(tblTransactions[CustomerRef],tblTransactions[[#This Row],[CustomerRef]],tblTransactions[Amount],tblTransactions[[#This Row],[Amount]],tblTransactions[Date],tblTransactions[[#This Row],[Date]])&gt;1),"Yes","No")</f>
        <v>No</v>
      </c>
    </row>
    <row r="160" spans="1:15" x14ac:dyDescent="0.3">
      <c r="A160" t="s">
        <v>478</v>
      </c>
      <c r="B160" s="2">
        <v>46260.768750000003</v>
      </c>
      <c r="C160" t="s">
        <v>24</v>
      </c>
      <c r="D160" t="s">
        <v>69</v>
      </c>
      <c r="E160" s="6">
        <v>36553.21</v>
      </c>
      <c r="F160" t="s">
        <v>11</v>
      </c>
      <c r="G160" t="s">
        <v>479</v>
      </c>
      <c r="H160" t="s">
        <v>480</v>
      </c>
      <c r="I160" s="116">
        <f>INT(tblTransactions[[#This Row],[TransactionDate]])</f>
        <v>46260</v>
      </c>
      <c r="J160" t="str">
        <f>IF(tblTransactions[[#This Row],[ApprovalID]]="", "R2 - Missing Approval Reference", "")</f>
        <v/>
      </c>
      <c r="K160" t="str">
        <f>IF(AND(tblTransactions[[#This Row],[ApprovalID]]&lt;&gt;"",COUNTIFS(tblApprovals[TransactionID],tblTransactions[[#This Row],[TransactionID]],tblApprovals[ApprovalID],tblTransactions[[#This Row],[ApprovalID]])=0),"R3 - Missing or Mismatched Approval Record", "")</f>
        <v/>
      </c>
      <c r="L16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0" t="str">
        <f>IF(AND(tblTransactions[[#This Row],[TransactionStatus]]="Success",COUNTIF(tblSettlement[TransactionID],tblTransactions[[#This Row],[TransactionID]])=0)," R5 - Successful Transaction Not Settled", "")</f>
        <v/>
      </c>
      <c r="N160" t="str">
        <f>IF(AND(COUNTIF(tblSettlement[TransactionID],tblTransactions[[#This Row],[TransactionID]])&gt;0,tblTransactions[[#This Row],[Amount]]&lt;&gt;SUMIF(tblSettlement[TransactionID],tblTransactions[[#This Row],[TransactionID]],tblSettlement[SettledAmount]))," R6 - Settlement Amount Mismatch", "")</f>
        <v/>
      </c>
      <c r="O160" t="str">
        <f>IF(AND(tblTransactions[[#This Row],[CustomerRef]] &lt;&gt;"",COUNTIFS(tblTransactions[CustomerRef],tblTransactions[[#This Row],[CustomerRef]],tblTransactions[Amount],tblTransactions[[#This Row],[Amount]],tblTransactions[Date],tblTransactions[[#This Row],[Date]])&gt;1),"Yes","No")</f>
        <v>No</v>
      </c>
    </row>
    <row r="161" spans="1:15" x14ac:dyDescent="0.3">
      <c r="A161" t="s">
        <v>481</v>
      </c>
      <c r="B161" s="2">
        <v>46248.588194444441</v>
      </c>
      <c r="C161" t="s">
        <v>43</v>
      </c>
      <c r="D161" t="s">
        <v>15</v>
      </c>
      <c r="E161" s="6">
        <v>21422.67</v>
      </c>
      <c r="F161" t="s">
        <v>11</v>
      </c>
      <c r="G161" t="s">
        <v>482</v>
      </c>
      <c r="H161" t="s">
        <v>483</v>
      </c>
      <c r="I161" s="116">
        <f>INT(tblTransactions[[#This Row],[TransactionDate]])</f>
        <v>46248</v>
      </c>
      <c r="J161" t="str">
        <f>IF(tblTransactions[[#This Row],[ApprovalID]]="", "R2 - Missing Approval Reference", "")</f>
        <v/>
      </c>
      <c r="K161" t="str">
        <f>IF(AND(tblTransactions[[#This Row],[ApprovalID]]&lt;&gt;"",COUNTIFS(tblApprovals[TransactionID],tblTransactions[[#This Row],[TransactionID]],tblApprovals[ApprovalID],tblTransactions[[#This Row],[ApprovalID]])=0),"R3 - Missing or Mismatched Approval Record", "")</f>
        <v/>
      </c>
      <c r="L16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1" t="str">
        <f>IF(AND(tblTransactions[[#This Row],[TransactionStatus]]="Success",COUNTIF(tblSettlement[TransactionID],tblTransactions[[#This Row],[TransactionID]])=0)," R5 - Successful Transaction Not Settled", "")</f>
        <v/>
      </c>
      <c r="N161" t="str">
        <f>IF(AND(COUNTIF(tblSettlement[TransactionID],tblTransactions[[#This Row],[TransactionID]])&gt;0,tblTransactions[[#This Row],[Amount]]&lt;&gt;SUMIF(tblSettlement[TransactionID],tblTransactions[[#This Row],[TransactionID]],tblSettlement[SettledAmount]))," R6 - Settlement Amount Mismatch", "")</f>
        <v/>
      </c>
      <c r="O161" t="str">
        <f>IF(AND(tblTransactions[[#This Row],[CustomerRef]] &lt;&gt;"",COUNTIFS(tblTransactions[CustomerRef],tblTransactions[[#This Row],[CustomerRef]],tblTransactions[Amount],tblTransactions[[#This Row],[Amount]],tblTransactions[Date],tblTransactions[[#This Row],[Date]])&gt;1),"Yes","No")</f>
        <v>No</v>
      </c>
    </row>
    <row r="162" spans="1:15" x14ac:dyDescent="0.3">
      <c r="A162" t="s">
        <v>484</v>
      </c>
      <c r="B162" s="2">
        <v>46232.609722222223</v>
      </c>
      <c r="C162" t="s">
        <v>9</v>
      </c>
      <c r="D162" t="s">
        <v>69</v>
      </c>
      <c r="E162" s="6">
        <v>4344.95</v>
      </c>
      <c r="F162" t="s">
        <v>11</v>
      </c>
      <c r="G162" t="s">
        <v>485</v>
      </c>
      <c r="H162" t="s">
        <v>486</v>
      </c>
      <c r="I162" s="116">
        <f>INT(tblTransactions[[#This Row],[TransactionDate]])</f>
        <v>46232</v>
      </c>
      <c r="J162" t="str">
        <f>IF(tblTransactions[[#This Row],[ApprovalID]]="", "R2 - Missing Approval Reference", "")</f>
        <v/>
      </c>
      <c r="K162" t="str">
        <f>IF(AND(tblTransactions[[#This Row],[ApprovalID]]&lt;&gt;"",COUNTIFS(tblApprovals[TransactionID],tblTransactions[[#This Row],[TransactionID]],tblApprovals[ApprovalID],tblTransactions[[#This Row],[ApprovalID]])=0),"R3 - Missing or Mismatched Approval Record", "")</f>
        <v/>
      </c>
      <c r="L16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2" t="str">
        <f>IF(AND(tblTransactions[[#This Row],[TransactionStatus]]="Success",COUNTIF(tblSettlement[TransactionID],tblTransactions[[#This Row],[TransactionID]])=0)," R5 - Successful Transaction Not Settled", "")</f>
        <v/>
      </c>
      <c r="N162" t="str">
        <f>IF(AND(COUNTIF(tblSettlement[TransactionID],tblTransactions[[#This Row],[TransactionID]])&gt;0,tblTransactions[[#This Row],[Amount]]&lt;&gt;SUMIF(tblSettlement[TransactionID],tblTransactions[[#This Row],[TransactionID]],tblSettlement[SettledAmount]))," R6 - Settlement Amount Mismatch", "")</f>
        <v/>
      </c>
      <c r="O162" t="str">
        <f>IF(AND(tblTransactions[[#This Row],[CustomerRef]] &lt;&gt;"",COUNTIFS(tblTransactions[CustomerRef],tblTransactions[[#This Row],[CustomerRef]],tblTransactions[Amount],tblTransactions[[#This Row],[Amount]],tblTransactions[Date],tblTransactions[[#This Row],[Date]])&gt;1),"Yes","No")</f>
        <v>No</v>
      </c>
    </row>
    <row r="163" spans="1:15" x14ac:dyDescent="0.3">
      <c r="A163" t="s">
        <v>487</v>
      </c>
      <c r="B163" s="2">
        <v>46245.375</v>
      </c>
      <c r="C163" t="s">
        <v>9</v>
      </c>
      <c r="D163" t="s">
        <v>29</v>
      </c>
      <c r="E163" s="6">
        <v>37429.550000000003</v>
      </c>
      <c r="F163" t="s">
        <v>11</v>
      </c>
      <c r="G163" t="s">
        <v>488</v>
      </c>
      <c r="H163" t="s">
        <v>84</v>
      </c>
      <c r="I163" s="116">
        <f>INT(tblTransactions[[#This Row],[TransactionDate]])</f>
        <v>46245</v>
      </c>
      <c r="J163" t="str">
        <f>IF(tblTransactions[[#This Row],[ApprovalID]]="", "R2 - Missing Approval Reference", "")</f>
        <v/>
      </c>
      <c r="K163" t="str">
        <f>IF(AND(tblTransactions[[#This Row],[ApprovalID]]&lt;&gt;"",COUNTIFS(tblApprovals[TransactionID],tblTransactions[[#This Row],[TransactionID]],tblApprovals[ApprovalID],tblTransactions[[#This Row],[ApprovalID]])=0),"R3 - Missing or Mismatched Approval Record", "")</f>
        <v/>
      </c>
      <c r="L16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3" t="str">
        <f>IF(AND(tblTransactions[[#This Row],[TransactionStatus]]="Success",COUNTIF(tblSettlement[TransactionID],tblTransactions[[#This Row],[TransactionID]])=0)," R5 - Successful Transaction Not Settled", "")</f>
        <v/>
      </c>
      <c r="N163" t="str">
        <f>IF(AND(COUNTIF(tblSettlement[TransactionID],tblTransactions[[#This Row],[TransactionID]])&gt;0,tblTransactions[[#This Row],[Amount]]&lt;&gt;SUMIF(tblSettlement[TransactionID],tblTransactions[[#This Row],[TransactionID]],tblSettlement[SettledAmount]))," R6 - Settlement Amount Mismatch", "")</f>
        <v/>
      </c>
      <c r="O163" t="str">
        <f>IF(AND(tblTransactions[[#This Row],[CustomerRef]] &lt;&gt;"",COUNTIFS(tblTransactions[CustomerRef],tblTransactions[[#This Row],[CustomerRef]],tblTransactions[Amount],tblTransactions[[#This Row],[Amount]],tblTransactions[Date],tblTransactions[[#This Row],[Date]])&gt;1),"Yes","No")</f>
        <v>No</v>
      </c>
    </row>
    <row r="164" spans="1:15" x14ac:dyDescent="0.3">
      <c r="A164" t="s">
        <v>489</v>
      </c>
      <c r="B164" s="2">
        <v>46268.703472222223</v>
      </c>
      <c r="C164" t="s">
        <v>43</v>
      </c>
      <c r="D164" t="s">
        <v>10</v>
      </c>
      <c r="E164" s="6">
        <v>50186.6</v>
      </c>
      <c r="F164" t="s">
        <v>11</v>
      </c>
      <c r="G164" t="s">
        <v>490</v>
      </c>
      <c r="H164" t="s">
        <v>491</v>
      </c>
      <c r="I164" s="116">
        <f>INT(tblTransactions[[#This Row],[TransactionDate]])</f>
        <v>46268</v>
      </c>
      <c r="J164" t="str">
        <f>IF(tblTransactions[[#This Row],[ApprovalID]]="", "R2 - Missing Approval Reference", "")</f>
        <v/>
      </c>
      <c r="K164" t="str">
        <f>IF(AND(tblTransactions[[#This Row],[ApprovalID]]&lt;&gt;"",COUNTIFS(tblApprovals[TransactionID],tblTransactions[[#This Row],[TransactionID]],tblApprovals[ApprovalID],tblTransactions[[#This Row],[ApprovalID]])=0),"R3 - Missing or Mismatched Approval Record", "")</f>
        <v/>
      </c>
      <c r="L16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4" t="str">
        <f>IF(AND(tblTransactions[[#This Row],[TransactionStatus]]="Success",COUNTIF(tblSettlement[TransactionID],tblTransactions[[#This Row],[TransactionID]])=0)," R5 - Successful Transaction Not Settled", "")</f>
        <v/>
      </c>
      <c r="N164" t="str">
        <f>IF(AND(COUNTIF(tblSettlement[TransactionID],tblTransactions[[#This Row],[TransactionID]])&gt;0,tblTransactions[[#This Row],[Amount]]&lt;&gt;SUMIF(tblSettlement[TransactionID],tblTransactions[[#This Row],[TransactionID]],tblSettlement[SettledAmount]))," R6 - Settlement Amount Mismatch", "")</f>
        <v/>
      </c>
      <c r="O164" t="str">
        <f>IF(AND(tblTransactions[[#This Row],[CustomerRef]] &lt;&gt;"",COUNTIFS(tblTransactions[CustomerRef],tblTransactions[[#This Row],[CustomerRef]],tblTransactions[Amount],tblTransactions[[#This Row],[Amount]],tblTransactions[Date],tblTransactions[[#This Row],[Date]])&gt;1),"Yes","No")</f>
        <v>No</v>
      </c>
    </row>
    <row r="165" spans="1:15" x14ac:dyDescent="0.3">
      <c r="A165" t="s">
        <v>492</v>
      </c>
      <c r="B165" s="2">
        <v>46213.888888888891</v>
      </c>
      <c r="C165" t="s">
        <v>28</v>
      </c>
      <c r="D165" t="s">
        <v>29</v>
      </c>
      <c r="E165" s="6">
        <v>43288</v>
      </c>
      <c r="F165" t="s">
        <v>11</v>
      </c>
      <c r="G165" t="s">
        <v>493</v>
      </c>
      <c r="H165" t="s">
        <v>494</v>
      </c>
      <c r="I165" s="116">
        <f>INT(tblTransactions[[#This Row],[TransactionDate]])</f>
        <v>46213</v>
      </c>
      <c r="J165" t="str">
        <f>IF(tblTransactions[[#This Row],[ApprovalID]]="", "R2 - Missing Approval Reference", "")</f>
        <v/>
      </c>
      <c r="K165" t="str">
        <f>IF(AND(tblTransactions[[#This Row],[ApprovalID]]&lt;&gt;"",COUNTIFS(tblApprovals[TransactionID],tblTransactions[[#This Row],[TransactionID]],tblApprovals[ApprovalID],tblTransactions[[#This Row],[ApprovalID]])=0),"R3 - Missing or Mismatched Approval Record", "")</f>
        <v/>
      </c>
      <c r="L16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5" t="str">
        <f>IF(AND(tblTransactions[[#This Row],[TransactionStatus]]="Success",COUNTIF(tblSettlement[TransactionID],tblTransactions[[#This Row],[TransactionID]])=0)," R5 - Successful Transaction Not Settled", "")</f>
        <v/>
      </c>
      <c r="N165" t="str">
        <f>IF(AND(COUNTIF(tblSettlement[TransactionID],tblTransactions[[#This Row],[TransactionID]])&gt;0,tblTransactions[[#This Row],[Amount]]&lt;&gt;SUMIF(tblSettlement[TransactionID],tblTransactions[[#This Row],[TransactionID]],tblSettlement[SettledAmount]))," R6 - Settlement Amount Mismatch", "")</f>
        <v/>
      </c>
      <c r="O165" t="str">
        <f>IF(AND(tblTransactions[[#This Row],[CustomerRef]] &lt;&gt;"",COUNTIFS(tblTransactions[CustomerRef],tblTransactions[[#This Row],[CustomerRef]],tblTransactions[Amount],tblTransactions[[#This Row],[Amount]],tblTransactions[Date],tblTransactions[[#This Row],[Date]])&gt;1),"Yes","No")</f>
        <v>No</v>
      </c>
    </row>
    <row r="166" spans="1:15" x14ac:dyDescent="0.3">
      <c r="A166" t="s">
        <v>495</v>
      </c>
      <c r="B166" s="2">
        <v>46206.548611111109</v>
      </c>
      <c r="C166" t="s">
        <v>28</v>
      </c>
      <c r="D166" t="s">
        <v>20</v>
      </c>
      <c r="E166" s="6">
        <v>60148.83</v>
      </c>
      <c r="F166" t="s">
        <v>11</v>
      </c>
      <c r="G166" t="s">
        <v>496</v>
      </c>
      <c r="H166" t="s">
        <v>497</v>
      </c>
      <c r="I166" s="116">
        <f>INT(tblTransactions[[#This Row],[TransactionDate]])</f>
        <v>46206</v>
      </c>
      <c r="J166" t="str">
        <f>IF(tblTransactions[[#This Row],[ApprovalID]]="", "R2 - Missing Approval Reference", "")</f>
        <v/>
      </c>
      <c r="K166" t="str">
        <f>IF(AND(tblTransactions[[#This Row],[ApprovalID]]&lt;&gt;"",COUNTIFS(tblApprovals[TransactionID],tblTransactions[[#This Row],[TransactionID]],tblApprovals[ApprovalID],tblTransactions[[#This Row],[ApprovalID]])=0),"R3 - Missing or Mismatched Approval Record", "")</f>
        <v/>
      </c>
      <c r="L16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6" t="str">
        <f>IF(AND(tblTransactions[[#This Row],[TransactionStatus]]="Success",COUNTIF(tblSettlement[TransactionID],tblTransactions[[#This Row],[TransactionID]])=0)," R5 - Successful Transaction Not Settled", "")</f>
        <v/>
      </c>
      <c r="N166" t="str">
        <f>IF(AND(COUNTIF(tblSettlement[TransactionID],tblTransactions[[#This Row],[TransactionID]])&gt;0,tblTransactions[[#This Row],[Amount]]&lt;&gt;SUMIF(tblSettlement[TransactionID],tblTransactions[[#This Row],[TransactionID]],tblSettlement[SettledAmount]))," R6 - Settlement Amount Mismatch", "")</f>
        <v/>
      </c>
      <c r="O166" t="str">
        <f>IF(AND(tblTransactions[[#This Row],[CustomerRef]] &lt;&gt;"",COUNTIFS(tblTransactions[CustomerRef],tblTransactions[[#This Row],[CustomerRef]],tblTransactions[Amount],tblTransactions[[#This Row],[Amount]],tblTransactions[Date],tblTransactions[[#This Row],[Date]])&gt;1),"Yes","No")</f>
        <v>No</v>
      </c>
    </row>
    <row r="167" spans="1:15" x14ac:dyDescent="0.3">
      <c r="A167" t="s">
        <v>498</v>
      </c>
      <c r="B167" s="2">
        <v>46235.609027777777</v>
      </c>
      <c r="C167" t="s">
        <v>24</v>
      </c>
      <c r="D167" t="s">
        <v>20</v>
      </c>
      <c r="E167" s="6">
        <v>30183.62</v>
      </c>
      <c r="F167" t="s">
        <v>11</v>
      </c>
      <c r="G167" t="s">
        <v>499</v>
      </c>
      <c r="H167" t="s">
        <v>500</v>
      </c>
      <c r="I167" s="116">
        <f>INT(tblTransactions[[#This Row],[TransactionDate]])</f>
        <v>46235</v>
      </c>
      <c r="J167" t="str">
        <f>IF(tblTransactions[[#This Row],[ApprovalID]]="", "R2 - Missing Approval Reference", "")</f>
        <v/>
      </c>
      <c r="K167" t="str">
        <f>IF(AND(tblTransactions[[#This Row],[ApprovalID]]&lt;&gt;"",COUNTIFS(tblApprovals[TransactionID],tblTransactions[[#This Row],[TransactionID]],tblApprovals[ApprovalID],tblTransactions[[#This Row],[ApprovalID]])=0),"R3 - Missing or Mismatched Approval Record", "")</f>
        <v/>
      </c>
      <c r="L16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7" t="str">
        <f>IF(AND(tblTransactions[[#This Row],[TransactionStatus]]="Success",COUNTIF(tblSettlement[TransactionID],tblTransactions[[#This Row],[TransactionID]])=0)," R5 - Successful Transaction Not Settled", "")</f>
        <v/>
      </c>
      <c r="N167" t="str">
        <f>IF(AND(COUNTIF(tblSettlement[TransactionID],tblTransactions[[#This Row],[TransactionID]])&gt;0,tblTransactions[[#This Row],[Amount]]&lt;&gt;SUMIF(tblSettlement[TransactionID],tblTransactions[[#This Row],[TransactionID]],tblSettlement[SettledAmount]))," R6 - Settlement Amount Mismatch", "")</f>
        <v/>
      </c>
      <c r="O167" t="str">
        <f>IF(AND(tblTransactions[[#This Row],[CustomerRef]] &lt;&gt;"",COUNTIFS(tblTransactions[CustomerRef],tblTransactions[[#This Row],[CustomerRef]],tblTransactions[Amount],tblTransactions[[#This Row],[Amount]],tblTransactions[Date],tblTransactions[[#This Row],[Date]])&gt;1),"Yes","No")</f>
        <v>No</v>
      </c>
    </row>
    <row r="168" spans="1:15" x14ac:dyDescent="0.3">
      <c r="A168" t="s">
        <v>501</v>
      </c>
      <c r="B168" s="2">
        <v>46213.694444444445</v>
      </c>
      <c r="C168" t="s">
        <v>24</v>
      </c>
      <c r="D168" t="s">
        <v>20</v>
      </c>
      <c r="E168" s="6">
        <v>8773.49</v>
      </c>
      <c r="F168" t="s">
        <v>11</v>
      </c>
      <c r="G168" t="s">
        <v>502</v>
      </c>
      <c r="H168" t="s">
        <v>503</v>
      </c>
      <c r="I168" s="116">
        <f>INT(tblTransactions[[#This Row],[TransactionDate]])</f>
        <v>46213</v>
      </c>
      <c r="J168" t="str">
        <f>IF(tblTransactions[[#This Row],[ApprovalID]]="", "R2 - Missing Approval Reference", "")</f>
        <v/>
      </c>
      <c r="K168" t="str">
        <f>IF(AND(tblTransactions[[#This Row],[ApprovalID]]&lt;&gt;"",COUNTIFS(tblApprovals[TransactionID],tblTransactions[[#This Row],[TransactionID]],tblApprovals[ApprovalID],tblTransactions[[#This Row],[ApprovalID]])=0),"R3 - Missing or Mismatched Approval Record", "")</f>
        <v/>
      </c>
      <c r="L16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68" t="str">
        <f>IF(AND(tblTransactions[[#This Row],[TransactionStatus]]="Success",COUNTIF(tblSettlement[TransactionID],tblTransactions[[#This Row],[TransactionID]])=0)," R5 - Successful Transaction Not Settled", "")</f>
        <v/>
      </c>
      <c r="N168"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168" t="str">
        <f>IF(AND(tblTransactions[[#This Row],[CustomerRef]] &lt;&gt;"",COUNTIFS(tblTransactions[CustomerRef],tblTransactions[[#This Row],[CustomerRef]],tblTransactions[Amount],tblTransactions[[#This Row],[Amount]],tblTransactions[Date],tblTransactions[[#This Row],[Date]])&gt;1),"Yes","No")</f>
        <v>No</v>
      </c>
    </row>
    <row r="169" spans="1:15" x14ac:dyDescent="0.3">
      <c r="A169" t="s">
        <v>504</v>
      </c>
      <c r="B169" s="2">
        <v>46234.381249999999</v>
      </c>
      <c r="C169" t="s">
        <v>9</v>
      </c>
      <c r="D169" t="s">
        <v>10</v>
      </c>
      <c r="E169" s="6">
        <v>19383.62</v>
      </c>
      <c r="F169" t="s">
        <v>11</v>
      </c>
      <c r="G169" t="s">
        <v>505</v>
      </c>
      <c r="H169" t="s">
        <v>506</v>
      </c>
      <c r="I169" s="116">
        <f>INT(tblTransactions[[#This Row],[TransactionDate]])</f>
        <v>46234</v>
      </c>
      <c r="J169" t="str">
        <f>IF(tblTransactions[[#This Row],[ApprovalID]]="", "R2 - Missing Approval Reference", "")</f>
        <v/>
      </c>
      <c r="K169" t="str">
        <f>IF(AND(tblTransactions[[#This Row],[ApprovalID]]&lt;&gt;"",COUNTIFS(tblApprovals[TransactionID],tblTransactions[[#This Row],[TransactionID]],tblApprovals[ApprovalID],tblTransactions[[#This Row],[ApprovalID]])=0),"R3 - Missing or Mismatched Approval Record", "")</f>
        <v/>
      </c>
      <c r="L16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169" t="str">
        <f>IF(AND(tblTransactions[[#This Row],[TransactionStatus]]="Success",COUNTIF(tblSettlement[TransactionID],tblTransactions[[#This Row],[TransactionID]])=0)," R5 - Successful Transaction Not Settled", "")</f>
        <v/>
      </c>
      <c r="N169" t="str">
        <f>IF(AND(COUNTIF(tblSettlement[TransactionID],tblTransactions[[#This Row],[TransactionID]])&gt;0,tblTransactions[[#This Row],[Amount]]&lt;&gt;SUMIF(tblSettlement[TransactionID],tblTransactions[[#This Row],[TransactionID]],tblSettlement[SettledAmount]))," R6 - Settlement Amount Mismatch", "")</f>
        <v/>
      </c>
      <c r="O169" t="str">
        <f>IF(AND(tblTransactions[[#This Row],[CustomerRef]] &lt;&gt;"",COUNTIFS(tblTransactions[CustomerRef],tblTransactions[[#This Row],[CustomerRef]],tblTransactions[Amount],tblTransactions[[#This Row],[Amount]],tblTransactions[Date],tblTransactions[[#This Row],[Date]])&gt;1),"Yes","No")</f>
        <v>No</v>
      </c>
    </row>
    <row r="170" spans="1:15" x14ac:dyDescent="0.3">
      <c r="A170" t="s">
        <v>507</v>
      </c>
      <c r="B170" s="2">
        <v>46263.85833333333</v>
      </c>
      <c r="C170" t="s">
        <v>19</v>
      </c>
      <c r="D170" t="s">
        <v>15</v>
      </c>
      <c r="E170" s="6">
        <v>57050.82</v>
      </c>
      <c r="F170" t="s">
        <v>11</v>
      </c>
      <c r="G170" t="s">
        <v>508</v>
      </c>
      <c r="H170" t="s">
        <v>509</v>
      </c>
      <c r="I170" s="116">
        <f>INT(tblTransactions[[#This Row],[TransactionDate]])</f>
        <v>46263</v>
      </c>
      <c r="J170" t="str">
        <f>IF(tblTransactions[[#This Row],[ApprovalID]]="", "R2 - Missing Approval Reference", "")</f>
        <v/>
      </c>
      <c r="K170" t="str">
        <f>IF(AND(tblTransactions[[#This Row],[ApprovalID]]&lt;&gt;"",COUNTIFS(tblApprovals[TransactionID],tblTransactions[[#This Row],[TransactionID]],tblApprovals[ApprovalID],tblTransactions[[#This Row],[ApprovalID]])=0),"R3 - Missing or Mismatched Approval Record", "")</f>
        <v/>
      </c>
      <c r="L17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0" t="str">
        <f>IF(AND(tblTransactions[[#This Row],[TransactionStatus]]="Success",COUNTIF(tblSettlement[TransactionID],tblTransactions[[#This Row],[TransactionID]])=0)," R5 - Successful Transaction Not Settled", "")</f>
        <v/>
      </c>
      <c r="N170" t="str">
        <f>IF(AND(COUNTIF(tblSettlement[TransactionID],tblTransactions[[#This Row],[TransactionID]])&gt;0,tblTransactions[[#This Row],[Amount]]&lt;&gt;SUMIF(tblSettlement[TransactionID],tblTransactions[[#This Row],[TransactionID]],tblSettlement[SettledAmount]))," R6 - Settlement Amount Mismatch", "")</f>
        <v/>
      </c>
      <c r="O170" t="str">
        <f>IF(AND(tblTransactions[[#This Row],[CustomerRef]] &lt;&gt;"",COUNTIFS(tblTransactions[CustomerRef],tblTransactions[[#This Row],[CustomerRef]],tblTransactions[Amount],tblTransactions[[#This Row],[Amount]],tblTransactions[Date],tblTransactions[[#This Row],[Date]])&gt;1),"Yes","No")</f>
        <v>No</v>
      </c>
    </row>
    <row r="171" spans="1:15" x14ac:dyDescent="0.3">
      <c r="A171" t="s">
        <v>510</v>
      </c>
      <c r="B171" s="2">
        <v>46223.62777777778</v>
      </c>
      <c r="C171" t="s">
        <v>24</v>
      </c>
      <c r="D171" t="s">
        <v>15</v>
      </c>
      <c r="E171" s="6">
        <v>35301.85</v>
      </c>
      <c r="F171" t="s">
        <v>11</v>
      </c>
      <c r="H171" t="s">
        <v>511</v>
      </c>
      <c r="I171" s="116">
        <f>INT(tblTransactions[[#This Row],[TransactionDate]])</f>
        <v>46223</v>
      </c>
      <c r="J171" t="str">
        <f>IF(tblTransactions[[#This Row],[ApprovalID]]="", "R2 - Missing Approval Reference", "")</f>
        <v>R2 - Missing Approval Reference</v>
      </c>
      <c r="K171" t="str">
        <f>IF(AND(tblTransactions[[#This Row],[ApprovalID]]&lt;&gt;"",COUNTIFS(tblApprovals[TransactionID],tblTransactions[[#This Row],[TransactionID]],tblApprovals[ApprovalID],tblTransactions[[#This Row],[ApprovalID]])=0),"R3 - Missing or Mismatched Approval Record", "")</f>
        <v/>
      </c>
      <c r="L17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1" t="str">
        <f>IF(AND(tblTransactions[[#This Row],[TransactionStatus]]="Success",COUNTIF(tblSettlement[TransactionID],tblTransactions[[#This Row],[TransactionID]])=0)," R5 - Successful Transaction Not Settled", "")</f>
        <v/>
      </c>
      <c r="N171" t="str">
        <f>IF(AND(COUNTIF(tblSettlement[TransactionID],tblTransactions[[#This Row],[TransactionID]])&gt;0,tblTransactions[[#This Row],[Amount]]&lt;&gt;SUMIF(tblSettlement[TransactionID],tblTransactions[[#This Row],[TransactionID]],tblSettlement[SettledAmount]))," R6 - Settlement Amount Mismatch", "")</f>
        <v/>
      </c>
      <c r="O171" t="str">
        <f>IF(AND(tblTransactions[[#This Row],[CustomerRef]] &lt;&gt;"",COUNTIFS(tblTransactions[CustomerRef],tblTransactions[[#This Row],[CustomerRef]],tblTransactions[Amount],tblTransactions[[#This Row],[Amount]],tblTransactions[Date],tblTransactions[[#This Row],[Date]])&gt;1),"Yes","No")</f>
        <v>No</v>
      </c>
    </row>
    <row r="172" spans="1:15" x14ac:dyDescent="0.3">
      <c r="A172" t="s">
        <v>512</v>
      </c>
      <c r="B172" s="2">
        <v>46213.520138888889</v>
      </c>
      <c r="C172" t="s">
        <v>24</v>
      </c>
      <c r="D172" t="s">
        <v>10</v>
      </c>
      <c r="E172" s="6">
        <v>34030.559999999998</v>
      </c>
      <c r="F172" t="s">
        <v>11</v>
      </c>
      <c r="G172" t="s">
        <v>513</v>
      </c>
      <c r="H172" t="s">
        <v>514</v>
      </c>
      <c r="I172" s="116">
        <f>INT(tblTransactions[[#This Row],[TransactionDate]])</f>
        <v>46213</v>
      </c>
      <c r="J172" t="str">
        <f>IF(tblTransactions[[#This Row],[ApprovalID]]="", "R2 - Missing Approval Reference", "")</f>
        <v/>
      </c>
      <c r="K172" t="str">
        <f>IF(AND(tblTransactions[[#This Row],[ApprovalID]]&lt;&gt;"",COUNTIFS(tblApprovals[TransactionID],tblTransactions[[#This Row],[TransactionID]],tblApprovals[ApprovalID],tblTransactions[[#This Row],[ApprovalID]])=0),"R3 - Missing or Mismatched Approval Record", "")</f>
        <v/>
      </c>
      <c r="L17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2" t="str">
        <f>IF(AND(tblTransactions[[#This Row],[TransactionStatus]]="Success",COUNTIF(tblSettlement[TransactionID],tblTransactions[[#This Row],[TransactionID]])=0)," R5 - Successful Transaction Not Settled", "")</f>
        <v/>
      </c>
      <c r="N172" t="str">
        <f>IF(AND(COUNTIF(tblSettlement[TransactionID],tblTransactions[[#This Row],[TransactionID]])&gt;0,tblTransactions[[#This Row],[Amount]]&lt;&gt;SUMIF(tblSettlement[TransactionID],tblTransactions[[#This Row],[TransactionID]],tblSettlement[SettledAmount]))," R6 - Settlement Amount Mismatch", "")</f>
        <v/>
      </c>
      <c r="O172" t="str">
        <f>IF(AND(tblTransactions[[#This Row],[CustomerRef]] &lt;&gt;"",COUNTIFS(tblTransactions[CustomerRef],tblTransactions[[#This Row],[CustomerRef]],tblTransactions[Amount],tblTransactions[[#This Row],[Amount]],tblTransactions[Date],tblTransactions[[#This Row],[Date]])&gt;1),"Yes","No")</f>
        <v>No</v>
      </c>
    </row>
    <row r="173" spans="1:15" x14ac:dyDescent="0.3">
      <c r="A173" t="s">
        <v>515</v>
      </c>
      <c r="B173" s="2">
        <v>46282.730555555558</v>
      </c>
      <c r="C173" t="s">
        <v>28</v>
      </c>
      <c r="D173" t="s">
        <v>10</v>
      </c>
      <c r="E173" s="6">
        <v>28990.07</v>
      </c>
      <c r="F173" t="s">
        <v>11</v>
      </c>
      <c r="G173" t="s">
        <v>516</v>
      </c>
      <c r="H173" t="s">
        <v>517</v>
      </c>
      <c r="I173" s="116">
        <f>INT(tblTransactions[[#This Row],[TransactionDate]])</f>
        <v>46282</v>
      </c>
      <c r="J173" t="str">
        <f>IF(tblTransactions[[#This Row],[ApprovalID]]="", "R2 - Missing Approval Reference", "")</f>
        <v/>
      </c>
      <c r="K173" t="str">
        <f>IF(AND(tblTransactions[[#This Row],[ApprovalID]]&lt;&gt;"",COUNTIFS(tblApprovals[TransactionID],tblTransactions[[#This Row],[TransactionID]],tblApprovals[ApprovalID],tblTransactions[[#This Row],[ApprovalID]])=0),"R3 - Missing or Mismatched Approval Record", "")</f>
        <v/>
      </c>
      <c r="L17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3" t="str">
        <f>IF(AND(tblTransactions[[#This Row],[TransactionStatus]]="Success",COUNTIF(tblSettlement[TransactionID],tblTransactions[[#This Row],[TransactionID]])=0)," R5 - Successful Transaction Not Settled", "")</f>
        <v/>
      </c>
      <c r="N173" t="str">
        <f>IF(AND(COUNTIF(tblSettlement[TransactionID],tblTransactions[[#This Row],[TransactionID]])&gt;0,tblTransactions[[#This Row],[Amount]]&lt;&gt;SUMIF(tblSettlement[TransactionID],tblTransactions[[#This Row],[TransactionID]],tblSettlement[SettledAmount]))," R6 - Settlement Amount Mismatch", "")</f>
        <v/>
      </c>
      <c r="O173" t="str">
        <f>IF(AND(tblTransactions[[#This Row],[CustomerRef]] &lt;&gt;"",COUNTIFS(tblTransactions[CustomerRef],tblTransactions[[#This Row],[CustomerRef]],tblTransactions[Amount],tblTransactions[[#This Row],[Amount]],tblTransactions[Date],tblTransactions[[#This Row],[Date]])&gt;1),"Yes","No")</f>
        <v>No</v>
      </c>
    </row>
    <row r="174" spans="1:15" x14ac:dyDescent="0.3">
      <c r="A174" t="s">
        <v>518</v>
      </c>
      <c r="B174" s="2">
        <v>46245.729166666664</v>
      </c>
      <c r="C174" t="s">
        <v>43</v>
      </c>
      <c r="D174" t="s">
        <v>10</v>
      </c>
      <c r="E174" s="6">
        <v>37727.21</v>
      </c>
      <c r="F174" t="s">
        <v>111</v>
      </c>
      <c r="G174" t="s">
        <v>519</v>
      </c>
      <c r="H174" t="s">
        <v>520</v>
      </c>
      <c r="I174" s="116">
        <f>INT(tblTransactions[[#This Row],[TransactionDate]])</f>
        <v>46245</v>
      </c>
      <c r="J174" t="str">
        <f>IF(tblTransactions[[#This Row],[ApprovalID]]="", "R2 - Missing Approval Reference", "")</f>
        <v/>
      </c>
      <c r="K174" t="str">
        <f>IF(AND(tblTransactions[[#This Row],[ApprovalID]]&lt;&gt;"",COUNTIFS(tblApprovals[TransactionID],tblTransactions[[#This Row],[TransactionID]],tblApprovals[ApprovalID],tblTransactions[[#This Row],[ApprovalID]])=0),"R3 - Missing or Mismatched Approval Record", "")</f>
        <v/>
      </c>
      <c r="L17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4" t="str">
        <f>IF(AND(tblTransactions[[#This Row],[TransactionStatus]]="Success",COUNTIF(tblSettlement[TransactionID],tblTransactions[[#This Row],[TransactionID]])=0)," R5 - Successful Transaction Not Settled", "")</f>
        <v/>
      </c>
      <c r="N174" t="str">
        <f>IF(AND(COUNTIF(tblSettlement[TransactionID],tblTransactions[[#This Row],[TransactionID]])&gt;0,tblTransactions[[#This Row],[Amount]]&lt;&gt;SUMIF(tblSettlement[TransactionID],tblTransactions[[#This Row],[TransactionID]],tblSettlement[SettledAmount]))," R6 - Settlement Amount Mismatch", "")</f>
        <v/>
      </c>
      <c r="O174" t="str">
        <f>IF(AND(tblTransactions[[#This Row],[CustomerRef]] &lt;&gt;"",COUNTIFS(tblTransactions[CustomerRef],tblTransactions[[#This Row],[CustomerRef]],tblTransactions[Amount],tblTransactions[[#This Row],[Amount]],tblTransactions[Date],tblTransactions[[#This Row],[Date]])&gt;1),"Yes","No")</f>
        <v>No</v>
      </c>
    </row>
    <row r="175" spans="1:15" x14ac:dyDescent="0.3">
      <c r="A175" t="s">
        <v>521</v>
      </c>
      <c r="B175" s="2">
        <v>46295.397222222222</v>
      </c>
      <c r="C175" t="s">
        <v>28</v>
      </c>
      <c r="D175" t="s">
        <v>29</v>
      </c>
      <c r="E175" s="6">
        <v>48548</v>
      </c>
      <c r="F175" t="s">
        <v>11</v>
      </c>
      <c r="G175" t="s">
        <v>522</v>
      </c>
      <c r="H175" t="s">
        <v>523</v>
      </c>
      <c r="I175" s="116">
        <f>INT(tblTransactions[[#This Row],[TransactionDate]])</f>
        <v>46295</v>
      </c>
      <c r="J175" t="str">
        <f>IF(tblTransactions[[#This Row],[ApprovalID]]="", "R2 - Missing Approval Reference", "")</f>
        <v/>
      </c>
      <c r="K175" t="str">
        <f>IF(AND(tblTransactions[[#This Row],[ApprovalID]]&lt;&gt;"",COUNTIFS(tblApprovals[TransactionID],tblTransactions[[#This Row],[TransactionID]],tblApprovals[ApprovalID],tblTransactions[[#This Row],[ApprovalID]])=0),"R3 - Missing or Mismatched Approval Record", "")</f>
        <v/>
      </c>
      <c r="L17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5" t="str">
        <f>IF(AND(tblTransactions[[#This Row],[TransactionStatus]]="Success",COUNTIF(tblSettlement[TransactionID],tblTransactions[[#This Row],[TransactionID]])=0)," R5 - Successful Transaction Not Settled", "")</f>
        <v/>
      </c>
      <c r="N175" t="str">
        <f>IF(AND(COUNTIF(tblSettlement[TransactionID],tblTransactions[[#This Row],[TransactionID]])&gt;0,tblTransactions[[#This Row],[Amount]]&lt;&gt;SUMIF(tblSettlement[TransactionID],tblTransactions[[#This Row],[TransactionID]],tblSettlement[SettledAmount]))," R6 - Settlement Amount Mismatch", "")</f>
        <v/>
      </c>
      <c r="O175" t="str">
        <f>IF(AND(tblTransactions[[#This Row],[CustomerRef]] &lt;&gt;"",COUNTIFS(tblTransactions[CustomerRef],tblTransactions[[#This Row],[CustomerRef]],tblTransactions[Amount],tblTransactions[[#This Row],[Amount]],tblTransactions[Date],tblTransactions[[#This Row],[Date]])&gt;1),"Yes","No")</f>
        <v>No</v>
      </c>
    </row>
    <row r="176" spans="1:15" x14ac:dyDescent="0.3">
      <c r="A176" t="s">
        <v>524</v>
      </c>
      <c r="B176" s="2">
        <v>46270.715277777781</v>
      </c>
      <c r="C176" t="s">
        <v>43</v>
      </c>
      <c r="D176" t="s">
        <v>29</v>
      </c>
      <c r="E176" s="6">
        <v>27451.37</v>
      </c>
      <c r="F176" t="s">
        <v>111</v>
      </c>
      <c r="G176" t="s">
        <v>525</v>
      </c>
      <c r="H176" t="s">
        <v>526</v>
      </c>
      <c r="I176" s="116">
        <f>INT(tblTransactions[[#This Row],[TransactionDate]])</f>
        <v>46270</v>
      </c>
      <c r="J176" t="str">
        <f>IF(tblTransactions[[#This Row],[ApprovalID]]="", "R2 - Missing Approval Reference", "")</f>
        <v/>
      </c>
      <c r="K176" t="str">
        <f>IF(AND(tblTransactions[[#This Row],[ApprovalID]]&lt;&gt;"",COUNTIFS(tblApprovals[TransactionID],tblTransactions[[#This Row],[TransactionID]],tblApprovals[ApprovalID],tblTransactions[[#This Row],[ApprovalID]])=0),"R3 - Missing or Mismatched Approval Record", "")</f>
        <v/>
      </c>
      <c r="L17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6" t="str">
        <f>IF(AND(tblTransactions[[#This Row],[TransactionStatus]]="Success",COUNTIF(tblSettlement[TransactionID],tblTransactions[[#This Row],[TransactionID]])=0)," R5 - Successful Transaction Not Settled", "")</f>
        <v/>
      </c>
      <c r="N176" t="str">
        <f>IF(AND(COUNTIF(tblSettlement[TransactionID],tblTransactions[[#This Row],[TransactionID]])&gt;0,tblTransactions[[#This Row],[Amount]]&lt;&gt;SUMIF(tblSettlement[TransactionID],tblTransactions[[#This Row],[TransactionID]],tblSettlement[SettledAmount]))," R6 - Settlement Amount Mismatch", "")</f>
        <v/>
      </c>
      <c r="O176" t="str">
        <f>IF(AND(tblTransactions[[#This Row],[CustomerRef]] &lt;&gt;"",COUNTIFS(tblTransactions[CustomerRef],tblTransactions[[#This Row],[CustomerRef]],tblTransactions[Amount],tblTransactions[[#This Row],[Amount]],tblTransactions[Date],tblTransactions[[#This Row],[Date]])&gt;1),"Yes","No")</f>
        <v>No</v>
      </c>
    </row>
    <row r="177" spans="1:15" x14ac:dyDescent="0.3">
      <c r="A177" t="s">
        <v>527</v>
      </c>
      <c r="B177" s="2">
        <v>46284.76458333333</v>
      </c>
      <c r="C177" t="s">
        <v>28</v>
      </c>
      <c r="D177" t="s">
        <v>29</v>
      </c>
      <c r="E177" s="6">
        <v>5176.91</v>
      </c>
      <c r="F177" t="s">
        <v>11</v>
      </c>
      <c r="G177" t="s">
        <v>528</v>
      </c>
      <c r="H177" t="s">
        <v>529</v>
      </c>
      <c r="I177" s="116">
        <f>INT(tblTransactions[[#This Row],[TransactionDate]])</f>
        <v>46284</v>
      </c>
      <c r="J177" t="str">
        <f>IF(tblTransactions[[#This Row],[ApprovalID]]="", "R2 - Missing Approval Reference", "")</f>
        <v/>
      </c>
      <c r="K177" t="str">
        <f>IF(AND(tblTransactions[[#This Row],[ApprovalID]]&lt;&gt;"",COUNTIFS(tblApprovals[TransactionID],tblTransactions[[#This Row],[TransactionID]],tblApprovals[ApprovalID],tblTransactions[[#This Row],[ApprovalID]])=0),"R3 - Missing or Mismatched Approval Record", "")</f>
        <v/>
      </c>
      <c r="L17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7" t="str">
        <f>IF(AND(tblTransactions[[#This Row],[TransactionStatus]]="Success",COUNTIF(tblSettlement[TransactionID],tblTransactions[[#This Row],[TransactionID]])=0)," R5 - Successful Transaction Not Settled", "")</f>
        <v/>
      </c>
      <c r="N177" t="str">
        <f>IF(AND(COUNTIF(tblSettlement[TransactionID],tblTransactions[[#This Row],[TransactionID]])&gt;0,tblTransactions[[#This Row],[Amount]]&lt;&gt;SUMIF(tblSettlement[TransactionID],tblTransactions[[#This Row],[TransactionID]],tblSettlement[SettledAmount]))," R6 - Settlement Amount Mismatch", "")</f>
        <v/>
      </c>
      <c r="O177" t="str">
        <f>IF(AND(tblTransactions[[#This Row],[CustomerRef]] &lt;&gt;"",COUNTIFS(tblTransactions[CustomerRef],tblTransactions[[#This Row],[CustomerRef]],tblTransactions[Amount],tblTransactions[[#This Row],[Amount]],tblTransactions[Date],tblTransactions[[#This Row],[Date]])&gt;1),"Yes","No")</f>
        <v>No</v>
      </c>
    </row>
    <row r="178" spans="1:15" x14ac:dyDescent="0.3">
      <c r="A178" t="s">
        <v>530</v>
      </c>
      <c r="B178" s="2">
        <v>46246.400694444441</v>
      </c>
      <c r="C178" t="s">
        <v>24</v>
      </c>
      <c r="D178" t="s">
        <v>29</v>
      </c>
      <c r="E178" s="6">
        <v>49855</v>
      </c>
      <c r="F178" t="s">
        <v>111</v>
      </c>
      <c r="G178" t="s">
        <v>531</v>
      </c>
      <c r="H178" t="s">
        <v>532</v>
      </c>
      <c r="I178" s="116">
        <f>INT(tblTransactions[[#This Row],[TransactionDate]])</f>
        <v>46246</v>
      </c>
      <c r="J178" t="str">
        <f>IF(tblTransactions[[#This Row],[ApprovalID]]="", "R2 - Missing Approval Reference", "")</f>
        <v/>
      </c>
      <c r="K178" t="str">
        <f>IF(AND(tblTransactions[[#This Row],[ApprovalID]]&lt;&gt;"",COUNTIFS(tblApprovals[TransactionID],tblTransactions[[#This Row],[TransactionID]],tblApprovals[ApprovalID],tblTransactions[[#This Row],[ApprovalID]])=0),"R3 - Missing or Mismatched Approval Record", "")</f>
        <v/>
      </c>
      <c r="L17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8" t="str">
        <f>IF(AND(tblTransactions[[#This Row],[TransactionStatus]]="Success",COUNTIF(tblSettlement[TransactionID],tblTransactions[[#This Row],[TransactionID]])=0)," R5 - Successful Transaction Not Settled", "")</f>
        <v/>
      </c>
      <c r="N178" t="str">
        <f>IF(AND(COUNTIF(tblSettlement[TransactionID],tblTransactions[[#This Row],[TransactionID]])&gt;0,tblTransactions[[#This Row],[Amount]]&lt;&gt;SUMIF(tblSettlement[TransactionID],tblTransactions[[#This Row],[TransactionID]],tblSettlement[SettledAmount]))," R6 - Settlement Amount Mismatch", "")</f>
        <v/>
      </c>
      <c r="O178" t="str">
        <f>IF(AND(tblTransactions[[#This Row],[CustomerRef]] &lt;&gt;"",COUNTIFS(tblTransactions[CustomerRef],tblTransactions[[#This Row],[CustomerRef]],tblTransactions[Amount],tblTransactions[[#This Row],[Amount]],tblTransactions[Date],tblTransactions[[#This Row],[Date]])&gt;1),"Yes","No")</f>
        <v>No</v>
      </c>
    </row>
    <row r="179" spans="1:15" x14ac:dyDescent="0.3">
      <c r="A179" t="s">
        <v>533</v>
      </c>
      <c r="B179" s="2">
        <v>46243.683333333334</v>
      </c>
      <c r="C179" t="s">
        <v>9</v>
      </c>
      <c r="D179" t="s">
        <v>15</v>
      </c>
      <c r="E179" s="6">
        <v>48351.12</v>
      </c>
      <c r="F179" t="s">
        <v>11</v>
      </c>
      <c r="G179" t="s">
        <v>534</v>
      </c>
      <c r="H179" t="s">
        <v>535</v>
      </c>
      <c r="I179" s="116">
        <f>INT(tblTransactions[[#This Row],[TransactionDate]])</f>
        <v>46243</v>
      </c>
      <c r="J179" t="str">
        <f>IF(tblTransactions[[#This Row],[ApprovalID]]="", "R2 - Missing Approval Reference", "")</f>
        <v/>
      </c>
      <c r="K179" t="str">
        <f>IF(AND(tblTransactions[[#This Row],[ApprovalID]]&lt;&gt;"",COUNTIFS(tblApprovals[TransactionID],tblTransactions[[#This Row],[TransactionID]],tblApprovals[ApprovalID],tblTransactions[[#This Row],[ApprovalID]])=0),"R3 - Missing or Mismatched Approval Record", "")</f>
        <v/>
      </c>
      <c r="L17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79" t="str">
        <f>IF(AND(tblTransactions[[#This Row],[TransactionStatus]]="Success",COUNTIF(tblSettlement[TransactionID],tblTransactions[[#This Row],[TransactionID]])=0)," R5 - Successful Transaction Not Settled", "")</f>
        <v/>
      </c>
      <c r="N179" t="str">
        <f>IF(AND(COUNTIF(tblSettlement[TransactionID],tblTransactions[[#This Row],[TransactionID]])&gt;0,tblTransactions[[#This Row],[Amount]]&lt;&gt;SUMIF(tblSettlement[TransactionID],tblTransactions[[#This Row],[TransactionID]],tblSettlement[SettledAmount]))," R6 - Settlement Amount Mismatch", "")</f>
        <v/>
      </c>
      <c r="O179" t="str">
        <f>IF(AND(tblTransactions[[#This Row],[CustomerRef]] &lt;&gt;"",COUNTIFS(tblTransactions[CustomerRef],tblTransactions[[#This Row],[CustomerRef]],tblTransactions[Amount],tblTransactions[[#This Row],[Amount]],tblTransactions[Date],tblTransactions[[#This Row],[Date]])&gt;1),"Yes","No")</f>
        <v>No</v>
      </c>
    </row>
    <row r="180" spans="1:15" x14ac:dyDescent="0.3">
      <c r="A180" t="s">
        <v>536</v>
      </c>
      <c r="B180" s="2">
        <v>46269.542361111111</v>
      </c>
      <c r="C180" t="s">
        <v>9</v>
      </c>
      <c r="D180" t="s">
        <v>20</v>
      </c>
      <c r="E180" s="6">
        <v>27354.18</v>
      </c>
      <c r="F180" t="s">
        <v>11</v>
      </c>
      <c r="G180" t="s">
        <v>537</v>
      </c>
      <c r="H180" t="s">
        <v>538</v>
      </c>
      <c r="I180" s="116">
        <f>INT(tblTransactions[[#This Row],[TransactionDate]])</f>
        <v>46269</v>
      </c>
      <c r="J180" t="str">
        <f>IF(tblTransactions[[#This Row],[ApprovalID]]="", "R2 - Missing Approval Reference", "")</f>
        <v/>
      </c>
      <c r="K180" t="str">
        <f>IF(AND(tblTransactions[[#This Row],[ApprovalID]]&lt;&gt;"",COUNTIFS(tblApprovals[TransactionID],tblTransactions[[#This Row],[TransactionID]],tblApprovals[ApprovalID],tblTransactions[[#This Row],[ApprovalID]])=0),"R3 - Missing or Mismatched Approval Record", "")</f>
        <v/>
      </c>
      <c r="L18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0" t="str">
        <f>IF(AND(tblTransactions[[#This Row],[TransactionStatus]]="Success",COUNTIF(tblSettlement[TransactionID],tblTransactions[[#This Row],[TransactionID]])=0)," R5 - Successful Transaction Not Settled", "")</f>
        <v/>
      </c>
      <c r="N180" t="str">
        <f>IF(AND(COUNTIF(tblSettlement[TransactionID],tblTransactions[[#This Row],[TransactionID]])&gt;0,tblTransactions[[#This Row],[Amount]]&lt;&gt;SUMIF(tblSettlement[TransactionID],tblTransactions[[#This Row],[TransactionID]],tblSettlement[SettledAmount]))," R6 - Settlement Amount Mismatch", "")</f>
        <v/>
      </c>
      <c r="O180" t="str">
        <f>IF(AND(tblTransactions[[#This Row],[CustomerRef]] &lt;&gt;"",COUNTIFS(tblTransactions[CustomerRef],tblTransactions[[#This Row],[CustomerRef]],tblTransactions[Amount],tblTransactions[[#This Row],[Amount]],tblTransactions[Date],tblTransactions[[#This Row],[Date]])&gt;1),"Yes","No")</f>
        <v>No</v>
      </c>
    </row>
    <row r="181" spans="1:15" x14ac:dyDescent="0.3">
      <c r="A181" t="s">
        <v>539</v>
      </c>
      <c r="B181" s="2">
        <v>46228.463888888888</v>
      </c>
      <c r="C181" t="s">
        <v>47</v>
      </c>
      <c r="D181" t="s">
        <v>15</v>
      </c>
      <c r="E181" s="6">
        <v>11832.15</v>
      </c>
      <c r="F181" t="s">
        <v>11</v>
      </c>
      <c r="G181" t="s">
        <v>540</v>
      </c>
      <c r="H181" t="s">
        <v>541</v>
      </c>
      <c r="I181" s="116">
        <f>INT(tblTransactions[[#This Row],[TransactionDate]])</f>
        <v>46228</v>
      </c>
      <c r="J181" t="str">
        <f>IF(tblTransactions[[#This Row],[ApprovalID]]="", "R2 - Missing Approval Reference", "")</f>
        <v/>
      </c>
      <c r="K181" t="str">
        <f>IF(AND(tblTransactions[[#This Row],[ApprovalID]]&lt;&gt;"",COUNTIFS(tblApprovals[TransactionID],tblTransactions[[#This Row],[TransactionID]],tblApprovals[ApprovalID],tblTransactions[[#This Row],[ApprovalID]])=0),"R3 - Missing or Mismatched Approval Record", "")</f>
        <v/>
      </c>
      <c r="L18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1" t="str">
        <f>IF(AND(tblTransactions[[#This Row],[TransactionStatus]]="Success",COUNTIF(tblSettlement[TransactionID],tblTransactions[[#This Row],[TransactionID]])=0)," R5 - Successful Transaction Not Settled", "")</f>
        <v/>
      </c>
      <c r="N181" t="str">
        <f>IF(AND(COUNTIF(tblSettlement[TransactionID],tblTransactions[[#This Row],[TransactionID]])&gt;0,tblTransactions[[#This Row],[Amount]]&lt;&gt;SUMIF(tblSettlement[TransactionID],tblTransactions[[#This Row],[TransactionID]],tblSettlement[SettledAmount]))," R6 - Settlement Amount Mismatch", "")</f>
        <v/>
      </c>
      <c r="O181" t="str">
        <f>IF(AND(tblTransactions[[#This Row],[CustomerRef]] &lt;&gt;"",COUNTIFS(tblTransactions[CustomerRef],tblTransactions[[#This Row],[CustomerRef]],tblTransactions[Amount],tblTransactions[[#This Row],[Amount]],tblTransactions[Date],tblTransactions[[#This Row],[Date]])&gt;1),"Yes","No")</f>
        <v>No</v>
      </c>
    </row>
    <row r="182" spans="1:15" x14ac:dyDescent="0.3">
      <c r="A182" t="s">
        <v>542</v>
      </c>
      <c r="B182" s="2">
        <v>46208.76458333333</v>
      </c>
      <c r="C182" t="s">
        <v>19</v>
      </c>
      <c r="D182" t="s">
        <v>29</v>
      </c>
      <c r="E182" s="6">
        <v>65760.36</v>
      </c>
      <c r="F182" t="s">
        <v>11</v>
      </c>
      <c r="G182" t="s">
        <v>543</v>
      </c>
      <c r="H182" t="s">
        <v>544</v>
      </c>
      <c r="I182" s="116">
        <f>INT(tblTransactions[[#This Row],[TransactionDate]])</f>
        <v>46208</v>
      </c>
      <c r="J182" t="str">
        <f>IF(tblTransactions[[#This Row],[ApprovalID]]="", "R2 - Missing Approval Reference", "")</f>
        <v/>
      </c>
      <c r="K182" t="str">
        <f>IF(AND(tblTransactions[[#This Row],[ApprovalID]]&lt;&gt;"",COUNTIFS(tblApprovals[TransactionID],tblTransactions[[#This Row],[TransactionID]],tblApprovals[ApprovalID],tblTransactions[[#This Row],[ApprovalID]])=0),"R3 - Missing or Mismatched Approval Record", "")</f>
        <v/>
      </c>
      <c r="L18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2" t="str">
        <f>IF(AND(tblTransactions[[#This Row],[TransactionStatus]]="Success",COUNTIF(tblSettlement[TransactionID],tblTransactions[[#This Row],[TransactionID]])=0)," R5 - Successful Transaction Not Settled", "")</f>
        <v/>
      </c>
      <c r="N182" t="str">
        <f>IF(AND(COUNTIF(tblSettlement[TransactionID],tblTransactions[[#This Row],[TransactionID]])&gt;0,tblTransactions[[#This Row],[Amount]]&lt;&gt;SUMIF(tblSettlement[TransactionID],tblTransactions[[#This Row],[TransactionID]],tblSettlement[SettledAmount]))," R6 - Settlement Amount Mismatch", "")</f>
        <v/>
      </c>
      <c r="O182" t="str">
        <f>IF(AND(tblTransactions[[#This Row],[CustomerRef]] &lt;&gt;"",COUNTIFS(tblTransactions[CustomerRef],tblTransactions[[#This Row],[CustomerRef]],tblTransactions[Amount],tblTransactions[[#This Row],[Amount]],tblTransactions[Date],tblTransactions[[#This Row],[Date]])&gt;1),"Yes","No")</f>
        <v>No</v>
      </c>
    </row>
    <row r="183" spans="1:15" x14ac:dyDescent="0.3">
      <c r="A183" t="s">
        <v>545</v>
      </c>
      <c r="B183" s="2">
        <v>46292.86041666667</v>
      </c>
      <c r="C183" t="s">
        <v>43</v>
      </c>
      <c r="D183" t="s">
        <v>10</v>
      </c>
      <c r="E183" s="6">
        <v>60726.02</v>
      </c>
      <c r="F183" t="s">
        <v>11</v>
      </c>
      <c r="G183" t="s">
        <v>546</v>
      </c>
      <c r="H183" t="s">
        <v>547</v>
      </c>
      <c r="I183" s="116">
        <f>INT(tblTransactions[[#This Row],[TransactionDate]])</f>
        <v>46292</v>
      </c>
      <c r="J183" t="str">
        <f>IF(tblTransactions[[#This Row],[ApprovalID]]="", "R2 - Missing Approval Reference", "")</f>
        <v/>
      </c>
      <c r="K183" t="str">
        <f>IF(AND(tblTransactions[[#This Row],[ApprovalID]]&lt;&gt;"",COUNTIFS(tblApprovals[TransactionID],tblTransactions[[#This Row],[TransactionID]],tblApprovals[ApprovalID],tblTransactions[[#This Row],[ApprovalID]])=0),"R3 - Missing or Mismatched Approval Record", "")</f>
        <v/>
      </c>
      <c r="L18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3" t="str">
        <f>IF(AND(tblTransactions[[#This Row],[TransactionStatus]]="Success",COUNTIF(tblSettlement[TransactionID],tblTransactions[[#This Row],[TransactionID]])=0)," R5 - Successful Transaction Not Settled", "")</f>
        <v/>
      </c>
      <c r="N183" t="str">
        <f>IF(AND(COUNTIF(tblSettlement[TransactionID],tblTransactions[[#This Row],[TransactionID]])&gt;0,tblTransactions[[#This Row],[Amount]]&lt;&gt;SUMIF(tblSettlement[TransactionID],tblTransactions[[#This Row],[TransactionID]],tblSettlement[SettledAmount]))," R6 - Settlement Amount Mismatch", "")</f>
        <v/>
      </c>
      <c r="O183" t="str">
        <f>IF(AND(tblTransactions[[#This Row],[CustomerRef]] &lt;&gt;"",COUNTIFS(tblTransactions[CustomerRef],tblTransactions[[#This Row],[CustomerRef]],tblTransactions[Amount],tblTransactions[[#This Row],[Amount]],tblTransactions[Date],tblTransactions[[#This Row],[Date]])&gt;1),"Yes","No")</f>
        <v>No</v>
      </c>
    </row>
    <row r="184" spans="1:15" x14ac:dyDescent="0.3">
      <c r="A184" t="s">
        <v>548</v>
      </c>
      <c r="B184" s="2">
        <v>46260.720833333333</v>
      </c>
      <c r="C184" t="s">
        <v>9</v>
      </c>
      <c r="D184" t="s">
        <v>15</v>
      </c>
      <c r="E184" s="6">
        <v>56491.24</v>
      </c>
      <c r="F184" t="s">
        <v>11</v>
      </c>
      <c r="G184" t="s">
        <v>549</v>
      </c>
      <c r="H184" t="s">
        <v>550</v>
      </c>
      <c r="I184" s="116">
        <f>INT(tblTransactions[[#This Row],[TransactionDate]])</f>
        <v>46260</v>
      </c>
      <c r="J184" t="str">
        <f>IF(tblTransactions[[#This Row],[ApprovalID]]="", "R2 - Missing Approval Reference", "")</f>
        <v/>
      </c>
      <c r="K184" t="str">
        <f>IF(AND(tblTransactions[[#This Row],[ApprovalID]]&lt;&gt;"",COUNTIFS(tblApprovals[TransactionID],tblTransactions[[#This Row],[TransactionID]],tblApprovals[ApprovalID],tblTransactions[[#This Row],[ApprovalID]])=0),"R3 - Missing or Mismatched Approval Record", "")</f>
        <v/>
      </c>
      <c r="L18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4" t="str">
        <f>IF(AND(tblTransactions[[#This Row],[TransactionStatus]]="Success",COUNTIF(tblSettlement[TransactionID],tblTransactions[[#This Row],[TransactionID]])=0)," R5 - Successful Transaction Not Settled", "")</f>
        <v/>
      </c>
      <c r="N184" t="str">
        <f>IF(AND(COUNTIF(tblSettlement[TransactionID],tblTransactions[[#This Row],[TransactionID]])&gt;0,tblTransactions[[#This Row],[Amount]]&lt;&gt;SUMIF(tblSettlement[TransactionID],tblTransactions[[#This Row],[TransactionID]],tblSettlement[SettledAmount]))," R6 - Settlement Amount Mismatch", "")</f>
        <v/>
      </c>
      <c r="O184" t="str">
        <f>IF(AND(tblTransactions[[#This Row],[CustomerRef]] &lt;&gt;"",COUNTIFS(tblTransactions[CustomerRef],tblTransactions[[#This Row],[CustomerRef]],tblTransactions[Amount],tblTransactions[[#This Row],[Amount]],tblTransactions[Date],tblTransactions[[#This Row],[Date]])&gt;1),"Yes","No")</f>
        <v>No</v>
      </c>
    </row>
    <row r="185" spans="1:15" x14ac:dyDescent="0.3">
      <c r="A185" t="s">
        <v>551</v>
      </c>
      <c r="B185" s="2">
        <v>46228.571527777778</v>
      </c>
      <c r="C185" t="s">
        <v>43</v>
      </c>
      <c r="D185" t="s">
        <v>20</v>
      </c>
      <c r="E185" s="6">
        <v>71047.98</v>
      </c>
      <c r="F185" t="s">
        <v>36</v>
      </c>
      <c r="G185" t="s">
        <v>552</v>
      </c>
      <c r="H185" t="s">
        <v>553</v>
      </c>
      <c r="I185" s="116">
        <f>INT(tblTransactions[[#This Row],[TransactionDate]])</f>
        <v>46228</v>
      </c>
      <c r="J185" t="str">
        <f>IF(tblTransactions[[#This Row],[ApprovalID]]="", "R2 - Missing Approval Reference", "")</f>
        <v/>
      </c>
      <c r="K185" t="str">
        <f>IF(AND(tblTransactions[[#This Row],[ApprovalID]]&lt;&gt;"",COUNTIFS(tblApprovals[TransactionID],tblTransactions[[#This Row],[TransactionID]],tblApprovals[ApprovalID],tblTransactions[[#This Row],[ApprovalID]])=0),"R3 - Missing or Mismatched Approval Record", "")</f>
        <v/>
      </c>
      <c r="L18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5" t="str">
        <f>IF(AND(tblTransactions[[#This Row],[TransactionStatus]]="Success",COUNTIF(tblSettlement[TransactionID],tblTransactions[[#This Row],[TransactionID]])=0)," R5 - Successful Transaction Not Settled", "")</f>
        <v/>
      </c>
      <c r="N185" t="str">
        <f>IF(AND(COUNTIF(tblSettlement[TransactionID],tblTransactions[[#This Row],[TransactionID]])&gt;0,tblTransactions[[#This Row],[Amount]]&lt;&gt;SUMIF(tblSettlement[TransactionID],tblTransactions[[#This Row],[TransactionID]],tblSettlement[SettledAmount]))," R6 - Settlement Amount Mismatch", "")</f>
        <v/>
      </c>
      <c r="O185" t="str">
        <f>IF(AND(tblTransactions[[#This Row],[CustomerRef]] &lt;&gt;"",COUNTIFS(tblTransactions[CustomerRef],tblTransactions[[#This Row],[CustomerRef]],tblTransactions[Amount],tblTransactions[[#This Row],[Amount]],tblTransactions[Date],tblTransactions[[#This Row],[Date]])&gt;1),"Yes","No")</f>
        <v>No</v>
      </c>
    </row>
    <row r="186" spans="1:15" x14ac:dyDescent="0.3">
      <c r="A186" t="s">
        <v>554</v>
      </c>
      <c r="B186" s="2">
        <v>46271.590277777781</v>
      </c>
      <c r="C186" t="s">
        <v>9</v>
      </c>
      <c r="D186" t="s">
        <v>20</v>
      </c>
      <c r="E186" s="6">
        <v>61312.62</v>
      </c>
      <c r="F186" t="s">
        <v>11</v>
      </c>
      <c r="H186" t="s">
        <v>555</v>
      </c>
      <c r="I186" s="116">
        <f>INT(tblTransactions[[#This Row],[TransactionDate]])</f>
        <v>46271</v>
      </c>
      <c r="J186" t="str">
        <f>IF(tblTransactions[[#This Row],[ApprovalID]]="", "R2 - Missing Approval Reference", "")</f>
        <v>R2 - Missing Approval Reference</v>
      </c>
      <c r="K186" t="str">
        <f>IF(AND(tblTransactions[[#This Row],[ApprovalID]]&lt;&gt;"",COUNTIFS(tblApprovals[TransactionID],tblTransactions[[#This Row],[TransactionID]],tblApprovals[ApprovalID],tblTransactions[[#This Row],[ApprovalID]])=0),"R3 - Missing or Mismatched Approval Record", "")</f>
        <v/>
      </c>
      <c r="L18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6" t="str">
        <f>IF(AND(tblTransactions[[#This Row],[TransactionStatus]]="Success",COUNTIF(tblSettlement[TransactionID],tblTransactions[[#This Row],[TransactionID]])=0)," R5 - Successful Transaction Not Settled", "")</f>
        <v/>
      </c>
      <c r="N186" t="str">
        <f>IF(AND(COUNTIF(tblSettlement[TransactionID],tblTransactions[[#This Row],[TransactionID]])&gt;0,tblTransactions[[#This Row],[Amount]]&lt;&gt;SUMIF(tblSettlement[TransactionID],tblTransactions[[#This Row],[TransactionID]],tblSettlement[SettledAmount]))," R6 - Settlement Amount Mismatch", "")</f>
        <v/>
      </c>
      <c r="O186" t="str">
        <f>IF(AND(tblTransactions[[#This Row],[CustomerRef]] &lt;&gt;"",COUNTIFS(tblTransactions[CustomerRef],tblTransactions[[#This Row],[CustomerRef]],tblTransactions[Amount],tblTransactions[[#This Row],[Amount]],tblTransactions[Date],tblTransactions[[#This Row],[Date]])&gt;1),"Yes","No")</f>
        <v>No</v>
      </c>
    </row>
    <row r="187" spans="1:15" x14ac:dyDescent="0.3">
      <c r="A187" t="s">
        <v>556</v>
      </c>
      <c r="B187" s="2">
        <v>46251.707638888889</v>
      </c>
      <c r="C187" t="s">
        <v>47</v>
      </c>
      <c r="D187" t="s">
        <v>20</v>
      </c>
      <c r="E187" s="6">
        <v>7918.58</v>
      </c>
      <c r="F187" t="s">
        <v>11</v>
      </c>
      <c r="G187" t="s">
        <v>557</v>
      </c>
      <c r="H187" t="s">
        <v>558</v>
      </c>
      <c r="I187" s="116">
        <f>INT(tblTransactions[[#This Row],[TransactionDate]])</f>
        <v>46251</v>
      </c>
      <c r="J187" t="str">
        <f>IF(tblTransactions[[#This Row],[ApprovalID]]="", "R2 - Missing Approval Reference", "")</f>
        <v/>
      </c>
      <c r="K187" t="str">
        <f>IF(AND(tblTransactions[[#This Row],[ApprovalID]]&lt;&gt;"",COUNTIFS(tblApprovals[TransactionID],tblTransactions[[#This Row],[TransactionID]],tblApprovals[ApprovalID],tblTransactions[[#This Row],[ApprovalID]])=0),"R3 - Missing or Mismatched Approval Record", "")</f>
        <v/>
      </c>
      <c r="L18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7" t="str">
        <f>IF(AND(tblTransactions[[#This Row],[TransactionStatus]]="Success",COUNTIF(tblSettlement[TransactionID],tblTransactions[[#This Row],[TransactionID]])=0)," R5 - Successful Transaction Not Settled", "")</f>
        <v/>
      </c>
      <c r="N187" t="str">
        <f>IF(AND(COUNTIF(tblSettlement[TransactionID],tblTransactions[[#This Row],[TransactionID]])&gt;0,tblTransactions[[#This Row],[Amount]]&lt;&gt;SUMIF(tblSettlement[TransactionID],tblTransactions[[#This Row],[TransactionID]],tblSettlement[SettledAmount]))," R6 - Settlement Amount Mismatch", "")</f>
        <v/>
      </c>
      <c r="O187" t="str">
        <f>IF(AND(tblTransactions[[#This Row],[CustomerRef]] &lt;&gt;"",COUNTIFS(tblTransactions[CustomerRef],tblTransactions[[#This Row],[CustomerRef]],tblTransactions[Amount],tblTransactions[[#This Row],[Amount]],tblTransactions[Date],tblTransactions[[#This Row],[Date]])&gt;1),"Yes","No")</f>
        <v>No</v>
      </c>
    </row>
    <row r="188" spans="1:15" x14ac:dyDescent="0.3">
      <c r="A188" t="s">
        <v>559</v>
      </c>
      <c r="B188" s="2">
        <v>46238.664583333331</v>
      </c>
      <c r="C188" t="s">
        <v>47</v>
      </c>
      <c r="D188" t="s">
        <v>69</v>
      </c>
      <c r="E188" s="6">
        <v>38623.120000000003</v>
      </c>
      <c r="F188" t="s">
        <v>11</v>
      </c>
      <c r="G188" t="s">
        <v>560</v>
      </c>
      <c r="H188" t="s">
        <v>561</v>
      </c>
      <c r="I188" s="116">
        <f>INT(tblTransactions[[#This Row],[TransactionDate]])</f>
        <v>46238</v>
      </c>
      <c r="J188" t="str">
        <f>IF(tblTransactions[[#This Row],[ApprovalID]]="", "R2 - Missing Approval Reference", "")</f>
        <v/>
      </c>
      <c r="K188" t="str">
        <f>IF(AND(tblTransactions[[#This Row],[ApprovalID]]&lt;&gt;"",COUNTIFS(tblApprovals[TransactionID],tblTransactions[[#This Row],[TransactionID]],tblApprovals[ApprovalID],tblTransactions[[#This Row],[ApprovalID]])=0),"R3 - Missing or Mismatched Approval Record", "")</f>
        <v/>
      </c>
      <c r="L18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8" t="str">
        <f>IF(AND(tblTransactions[[#This Row],[TransactionStatus]]="Success",COUNTIF(tblSettlement[TransactionID],tblTransactions[[#This Row],[TransactionID]])=0)," R5 - Successful Transaction Not Settled", "")</f>
        <v/>
      </c>
      <c r="N188" t="str">
        <f>IF(AND(COUNTIF(tblSettlement[TransactionID],tblTransactions[[#This Row],[TransactionID]])&gt;0,tblTransactions[[#This Row],[Amount]]&lt;&gt;SUMIF(tblSettlement[TransactionID],tblTransactions[[#This Row],[TransactionID]],tblSettlement[SettledAmount]))," R6 - Settlement Amount Mismatch", "")</f>
        <v/>
      </c>
      <c r="O188" t="str">
        <f>IF(AND(tblTransactions[[#This Row],[CustomerRef]] &lt;&gt;"",COUNTIFS(tblTransactions[CustomerRef],tblTransactions[[#This Row],[CustomerRef]],tblTransactions[Amount],tblTransactions[[#This Row],[Amount]],tblTransactions[Date],tblTransactions[[#This Row],[Date]])&gt;1),"Yes","No")</f>
        <v>No</v>
      </c>
    </row>
    <row r="189" spans="1:15" x14ac:dyDescent="0.3">
      <c r="A189" t="s">
        <v>562</v>
      </c>
      <c r="B189" s="2">
        <v>46207.585416666669</v>
      </c>
      <c r="C189" t="s">
        <v>43</v>
      </c>
      <c r="D189" t="s">
        <v>10</v>
      </c>
      <c r="E189" s="6">
        <v>29884.93</v>
      </c>
      <c r="F189" t="s">
        <v>11</v>
      </c>
      <c r="G189" t="s">
        <v>563</v>
      </c>
      <c r="H189" t="s">
        <v>564</v>
      </c>
      <c r="I189" s="116">
        <f>INT(tblTransactions[[#This Row],[TransactionDate]])</f>
        <v>46207</v>
      </c>
      <c r="J189" t="str">
        <f>IF(tblTransactions[[#This Row],[ApprovalID]]="", "R2 - Missing Approval Reference", "")</f>
        <v/>
      </c>
      <c r="K189" t="str">
        <f>IF(AND(tblTransactions[[#This Row],[ApprovalID]]&lt;&gt;"",COUNTIFS(tblApprovals[TransactionID],tblTransactions[[#This Row],[TransactionID]],tblApprovals[ApprovalID],tblTransactions[[#This Row],[ApprovalID]])=0),"R3 - Missing or Mismatched Approval Record", "")</f>
        <v/>
      </c>
      <c r="L18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89" t="str">
        <f>IF(AND(tblTransactions[[#This Row],[TransactionStatus]]="Success",COUNTIF(tblSettlement[TransactionID],tblTransactions[[#This Row],[TransactionID]])=0)," R5 - Successful Transaction Not Settled", "")</f>
        <v/>
      </c>
      <c r="N189"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189" t="str">
        <f>IF(AND(tblTransactions[[#This Row],[CustomerRef]] &lt;&gt;"",COUNTIFS(tblTransactions[CustomerRef],tblTransactions[[#This Row],[CustomerRef]],tblTransactions[Amount],tblTransactions[[#This Row],[Amount]],tblTransactions[Date],tblTransactions[[#This Row],[Date]])&gt;1),"Yes","No")</f>
        <v>No</v>
      </c>
    </row>
    <row r="190" spans="1:15" x14ac:dyDescent="0.3">
      <c r="A190" t="s">
        <v>565</v>
      </c>
      <c r="B190" s="2">
        <v>46244.92083333333</v>
      </c>
      <c r="C190" t="s">
        <v>9</v>
      </c>
      <c r="D190" t="s">
        <v>69</v>
      </c>
      <c r="E190" s="6">
        <v>62978.43</v>
      </c>
      <c r="F190" t="s">
        <v>11</v>
      </c>
      <c r="H190" t="s">
        <v>566</v>
      </c>
      <c r="I190" s="116">
        <f>INT(tblTransactions[[#This Row],[TransactionDate]])</f>
        <v>46244</v>
      </c>
      <c r="J190" t="str">
        <f>IF(tblTransactions[[#This Row],[ApprovalID]]="", "R2 - Missing Approval Reference", "")</f>
        <v>R2 - Missing Approval Reference</v>
      </c>
      <c r="K190" t="str">
        <f>IF(AND(tblTransactions[[#This Row],[ApprovalID]]&lt;&gt;"",COUNTIFS(tblApprovals[TransactionID],tblTransactions[[#This Row],[TransactionID]],tblApprovals[ApprovalID],tblTransactions[[#This Row],[ApprovalID]])=0),"R3 - Missing or Mismatched Approval Record", "")</f>
        <v/>
      </c>
      <c r="L19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0" t="str">
        <f>IF(AND(tblTransactions[[#This Row],[TransactionStatus]]="Success",COUNTIF(tblSettlement[TransactionID],tblTransactions[[#This Row],[TransactionID]])=0)," R5 - Successful Transaction Not Settled", "")</f>
        <v/>
      </c>
      <c r="N190" t="str">
        <f>IF(AND(COUNTIF(tblSettlement[TransactionID],tblTransactions[[#This Row],[TransactionID]])&gt;0,tblTransactions[[#This Row],[Amount]]&lt;&gt;SUMIF(tblSettlement[TransactionID],tblTransactions[[#This Row],[TransactionID]],tblSettlement[SettledAmount]))," R6 - Settlement Amount Mismatch", "")</f>
        <v/>
      </c>
      <c r="O190" t="str">
        <f>IF(AND(tblTransactions[[#This Row],[CustomerRef]] &lt;&gt;"",COUNTIFS(tblTransactions[CustomerRef],tblTransactions[[#This Row],[CustomerRef]],tblTransactions[Amount],tblTransactions[[#This Row],[Amount]],tblTransactions[Date],tblTransactions[[#This Row],[Date]])&gt;1),"Yes","No")</f>
        <v>No</v>
      </c>
    </row>
    <row r="191" spans="1:15" x14ac:dyDescent="0.3">
      <c r="A191" t="s">
        <v>567</v>
      </c>
      <c r="B191" s="2">
        <v>46293.880555555559</v>
      </c>
      <c r="C191" t="s">
        <v>19</v>
      </c>
      <c r="D191" t="s">
        <v>10</v>
      </c>
      <c r="E191" s="6">
        <v>56973.38</v>
      </c>
      <c r="F191" t="s">
        <v>11</v>
      </c>
      <c r="G191" t="s">
        <v>568</v>
      </c>
      <c r="H191" t="s">
        <v>569</v>
      </c>
      <c r="I191" s="116">
        <f>INT(tblTransactions[[#This Row],[TransactionDate]])</f>
        <v>46293</v>
      </c>
      <c r="J191" t="str">
        <f>IF(tblTransactions[[#This Row],[ApprovalID]]="", "R2 - Missing Approval Reference", "")</f>
        <v/>
      </c>
      <c r="K191" t="str">
        <f>IF(AND(tblTransactions[[#This Row],[ApprovalID]]&lt;&gt;"",COUNTIFS(tblApprovals[TransactionID],tblTransactions[[#This Row],[TransactionID]],tblApprovals[ApprovalID],tblTransactions[[#This Row],[ApprovalID]])=0),"R3 - Missing or Mismatched Approval Record", "")</f>
        <v/>
      </c>
      <c r="L19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1" t="str">
        <f>IF(AND(tblTransactions[[#This Row],[TransactionStatus]]="Success",COUNTIF(tblSettlement[TransactionID],tblTransactions[[#This Row],[TransactionID]])=0)," R5 - Successful Transaction Not Settled", "")</f>
        <v/>
      </c>
      <c r="N191" t="str">
        <f>IF(AND(COUNTIF(tblSettlement[TransactionID],tblTransactions[[#This Row],[TransactionID]])&gt;0,tblTransactions[[#This Row],[Amount]]&lt;&gt;SUMIF(tblSettlement[TransactionID],tblTransactions[[#This Row],[TransactionID]],tblSettlement[SettledAmount]))," R6 - Settlement Amount Mismatch", "")</f>
        <v/>
      </c>
      <c r="O191" t="str">
        <f>IF(AND(tblTransactions[[#This Row],[CustomerRef]] &lt;&gt;"",COUNTIFS(tblTransactions[CustomerRef],tblTransactions[[#This Row],[CustomerRef]],tblTransactions[Amount],tblTransactions[[#This Row],[Amount]],tblTransactions[Date],tblTransactions[[#This Row],[Date]])&gt;1),"Yes","No")</f>
        <v>No</v>
      </c>
    </row>
    <row r="192" spans="1:15" x14ac:dyDescent="0.3">
      <c r="A192" t="s">
        <v>570</v>
      </c>
      <c r="B192" s="2">
        <v>46236.495138888888</v>
      </c>
      <c r="C192" t="s">
        <v>19</v>
      </c>
      <c r="D192" t="s">
        <v>15</v>
      </c>
      <c r="E192" s="6">
        <v>11426.59</v>
      </c>
      <c r="F192" t="s">
        <v>111</v>
      </c>
      <c r="G192" t="s">
        <v>571</v>
      </c>
      <c r="H192" t="s">
        <v>572</v>
      </c>
      <c r="I192" s="116">
        <f>INT(tblTransactions[[#This Row],[TransactionDate]])</f>
        <v>46236</v>
      </c>
      <c r="J192" t="str">
        <f>IF(tblTransactions[[#This Row],[ApprovalID]]="", "R2 - Missing Approval Reference", "")</f>
        <v/>
      </c>
      <c r="K192" t="str">
        <f>IF(AND(tblTransactions[[#This Row],[ApprovalID]]&lt;&gt;"",COUNTIFS(tblApprovals[TransactionID],tblTransactions[[#This Row],[TransactionID]],tblApprovals[ApprovalID],tblTransactions[[#This Row],[ApprovalID]])=0),"R3 - Missing or Mismatched Approval Record", "")</f>
        <v/>
      </c>
      <c r="L19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192" t="str">
        <f>IF(AND(tblTransactions[[#This Row],[TransactionStatus]]="Success",COUNTIF(tblSettlement[TransactionID],tblTransactions[[#This Row],[TransactionID]])=0)," R5 - Successful Transaction Not Settled", "")</f>
        <v/>
      </c>
      <c r="N192" t="str">
        <f>IF(AND(COUNTIF(tblSettlement[TransactionID],tblTransactions[[#This Row],[TransactionID]])&gt;0,tblTransactions[[#This Row],[Amount]]&lt;&gt;SUMIF(tblSettlement[TransactionID],tblTransactions[[#This Row],[TransactionID]],tblSettlement[SettledAmount]))," R6 - Settlement Amount Mismatch", "")</f>
        <v/>
      </c>
      <c r="O192" t="str">
        <f>IF(AND(tblTransactions[[#This Row],[CustomerRef]] &lt;&gt;"",COUNTIFS(tblTransactions[CustomerRef],tblTransactions[[#This Row],[CustomerRef]],tblTransactions[Amount],tblTransactions[[#This Row],[Amount]],tblTransactions[Date],tblTransactions[[#This Row],[Date]])&gt;1),"Yes","No")</f>
        <v>No</v>
      </c>
    </row>
    <row r="193" spans="1:15" x14ac:dyDescent="0.3">
      <c r="A193" t="s">
        <v>573</v>
      </c>
      <c r="B193" s="2">
        <v>46234.504861111112</v>
      </c>
      <c r="C193" t="s">
        <v>19</v>
      </c>
      <c r="D193" t="s">
        <v>29</v>
      </c>
      <c r="E193" s="6">
        <v>3819.27</v>
      </c>
      <c r="F193" t="s">
        <v>11</v>
      </c>
      <c r="H193" t="s">
        <v>574</v>
      </c>
      <c r="I193" s="116">
        <f>INT(tblTransactions[[#This Row],[TransactionDate]])</f>
        <v>46234</v>
      </c>
      <c r="J193" t="str">
        <f>IF(tblTransactions[[#This Row],[ApprovalID]]="", "R2 - Missing Approval Reference", "")</f>
        <v>R2 - Missing Approval Reference</v>
      </c>
      <c r="K193" t="str">
        <f>IF(AND(tblTransactions[[#This Row],[ApprovalID]]&lt;&gt;"",COUNTIFS(tblApprovals[TransactionID],tblTransactions[[#This Row],[TransactionID]],tblApprovals[ApprovalID],tblTransactions[[#This Row],[ApprovalID]])=0),"R3 - Missing or Mismatched Approval Record", "")</f>
        <v/>
      </c>
      <c r="L19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3" t="str">
        <f>IF(AND(tblTransactions[[#This Row],[TransactionStatus]]="Success",COUNTIF(tblSettlement[TransactionID],tblTransactions[[#This Row],[TransactionID]])=0)," R5 - Successful Transaction Not Settled", "")</f>
        <v/>
      </c>
      <c r="N193" t="str">
        <f>IF(AND(COUNTIF(tblSettlement[TransactionID],tblTransactions[[#This Row],[TransactionID]])&gt;0,tblTransactions[[#This Row],[Amount]]&lt;&gt;SUMIF(tblSettlement[TransactionID],tblTransactions[[#This Row],[TransactionID]],tblSettlement[SettledAmount]))," R6 - Settlement Amount Mismatch", "")</f>
        <v/>
      </c>
      <c r="O193" t="str">
        <f>IF(AND(tblTransactions[[#This Row],[CustomerRef]] &lt;&gt;"",COUNTIFS(tblTransactions[CustomerRef],tblTransactions[[#This Row],[CustomerRef]],tblTransactions[Amount],tblTransactions[[#This Row],[Amount]],tblTransactions[Date],tblTransactions[[#This Row],[Date]])&gt;1),"Yes","No")</f>
        <v>No</v>
      </c>
    </row>
    <row r="194" spans="1:15" x14ac:dyDescent="0.3">
      <c r="A194" t="s">
        <v>575</v>
      </c>
      <c r="B194" s="2">
        <v>46280.667361111111</v>
      </c>
      <c r="C194" t="s">
        <v>28</v>
      </c>
      <c r="D194" t="s">
        <v>69</v>
      </c>
      <c r="E194" s="6">
        <v>47488.63</v>
      </c>
      <c r="F194" t="s">
        <v>11</v>
      </c>
      <c r="G194" t="s">
        <v>576</v>
      </c>
      <c r="H194" t="s">
        <v>577</v>
      </c>
      <c r="I194" s="116">
        <f>INT(tblTransactions[[#This Row],[TransactionDate]])</f>
        <v>46280</v>
      </c>
      <c r="J194" t="str">
        <f>IF(tblTransactions[[#This Row],[ApprovalID]]="", "R2 - Missing Approval Reference", "")</f>
        <v/>
      </c>
      <c r="K194" t="str">
        <f>IF(AND(tblTransactions[[#This Row],[ApprovalID]]&lt;&gt;"",COUNTIFS(tblApprovals[TransactionID],tblTransactions[[#This Row],[TransactionID]],tblApprovals[ApprovalID],tblTransactions[[#This Row],[ApprovalID]])=0),"R3 - Missing or Mismatched Approval Record", "")</f>
        <v/>
      </c>
      <c r="L19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4" t="str">
        <f>IF(AND(tblTransactions[[#This Row],[TransactionStatus]]="Success",COUNTIF(tblSettlement[TransactionID],tblTransactions[[#This Row],[TransactionID]])=0)," R5 - Successful Transaction Not Settled", "")</f>
        <v/>
      </c>
      <c r="N194" t="str">
        <f>IF(AND(COUNTIF(tblSettlement[TransactionID],tblTransactions[[#This Row],[TransactionID]])&gt;0,tblTransactions[[#This Row],[Amount]]&lt;&gt;SUMIF(tblSettlement[TransactionID],tblTransactions[[#This Row],[TransactionID]],tblSettlement[SettledAmount]))," R6 - Settlement Amount Mismatch", "")</f>
        <v/>
      </c>
      <c r="O194" t="str">
        <f>IF(AND(tblTransactions[[#This Row],[CustomerRef]] &lt;&gt;"",COUNTIFS(tblTransactions[CustomerRef],tblTransactions[[#This Row],[CustomerRef]],tblTransactions[Amount],tblTransactions[[#This Row],[Amount]],tblTransactions[Date],tblTransactions[[#This Row],[Date]])&gt;1),"Yes","No")</f>
        <v>No</v>
      </c>
    </row>
    <row r="195" spans="1:15" x14ac:dyDescent="0.3">
      <c r="A195" t="s">
        <v>578</v>
      </c>
      <c r="B195" s="2">
        <v>46282.552083333336</v>
      </c>
      <c r="C195" t="s">
        <v>28</v>
      </c>
      <c r="D195" t="s">
        <v>10</v>
      </c>
      <c r="E195" s="6">
        <v>42907.11</v>
      </c>
      <c r="F195" t="s">
        <v>11</v>
      </c>
      <c r="G195" t="s">
        <v>579</v>
      </c>
      <c r="H195" t="s">
        <v>580</v>
      </c>
      <c r="I195" s="116">
        <f>INT(tblTransactions[[#This Row],[TransactionDate]])</f>
        <v>46282</v>
      </c>
      <c r="J195" t="str">
        <f>IF(tblTransactions[[#This Row],[ApprovalID]]="", "R2 - Missing Approval Reference", "")</f>
        <v/>
      </c>
      <c r="K195" t="str">
        <f>IF(AND(tblTransactions[[#This Row],[ApprovalID]]&lt;&gt;"",COUNTIFS(tblApprovals[TransactionID],tblTransactions[[#This Row],[TransactionID]],tblApprovals[ApprovalID],tblTransactions[[#This Row],[ApprovalID]])=0),"R3 - Missing or Mismatched Approval Record", "")</f>
        <v/>
      </c>
      <c r="L19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5" t="str">
        <f>IF(AND(tblTransactions[[#This Row],[TransactionStatus]]="Success",COUNTIF(tblSettlement[TransactionID],tblTransactions[[#This Row],[TransactionID]])=0)," R5 - Successful Transaction Not Settled", "")</f>
        <v/>
      </c>
      <c r="N195" t="str">
        <f>IF(AND(COUNTIF(tblSettlement[TransactionID],tblTransactions[[#This Row],[TransactionID]])&gt;0,tblTransactions[[#This Row],[Amount]]&lt;&gt;SUMIF(tblSettlement[TransactionID],tblTransactions[[#This Row],[TransactionID]],tblSettlement[SettledAmount]))," R6 - Settlement Amount Mismatch", "")</f>
        <v/>
      </c>
      <c r="O195" t="str">
        <f>IF(AND(tblTransactions[[#This Row],[CustomerRef]] &lt;&gt;"",COUNTIFS(tblTransactions[CustomerRef],tblTransactions[[#This Row],[CustomerRef]],tblTransactions[Amount],tblTransactions[[#This Row],[Amount]],tblTransactions[Date],tblTransactions[[#This Row],[Date]])&gt;1),"Yes","No")</f>
        <v>No</v>
      </c>
    </row>
    <row r="196" spans="1:15" x14ac:dyDescent="0.3">
      <c r="A196" t="s">
        <v>581</v>
      </c>
      <c r="B196" s="2">
        <v>46212.69027777778</v>
      </c>
      <c r="C196" t="s">
        <v>19</v>
      </c>
      <c r="D196" t="s">
        <v>10</v>
      </c>
      <c r="E196" s="6">
        <v>38172.75</v>
      </c>
      <c r="F196" t="s">
        <v>36</v>
      </c>
      <c r="G196" t="s">
        <v>582</v>
      </c>
      <c r="H196" t="s">
        <v>583</v>
      </c>
      <c r="I196" s="116">
        <f>INT(tblTransactions[[#This Row],[TransactionDate]])</f>
        <v>46212</v>
      </c>
      <c r="J196" t="str">
        <f>IF(tblTransactions[[#This Row],[ApprovalID]]="", "R2 - Missing Approval Reference", "")</f>
        <v/>
      </c>
      <c r="K196" t="str">
        <f>IF(AND(tblTransactions[[#This Row],[ApprovalID]]&lt;&gt;"",COUNTIFS(tblApprovals[TransactionID],tblTransactions[[#This Row],[TransactionID]],tblApprovals[ApprovalID],tblTransactions[[#This Row],[ApprovalID]])=0),"R3 - Missing or Mismatched Approval Record", "")</f>
        <v/>
      </c>
      <c r="L19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6" t="str">
        <f>IF(AND(tblTransactions[[#This Row],[TransactionStatus]]="Success",COUNTIF(tblSettlement[TransactionID],tblTransactions[[#This Row],[TransactionID]])=0)," R5 - Successful Transaction Not Settled", "")</f>
        <v/>
      </c>
      <c r="N196" t="str">
        <f>IF(AND(COUNTIF(tblSettlement[TransactionID],tblTransactions[[#This Row],[TransactionID]])&gt;0,tblTransactions[[#This Row],[Amount]]&lt;&gt;SUMIF(tblSettlement[TransactionID],tblTransactions[[#This Row],[TransactionID]],tblSettlement[SettledAmount]))," R6 - Settlement Amount Mismatch", "")</f>
        <v/>
      </c>
      <c r="O196" t="str">
        <f>IF(AND(tblTransactions[[#This Row],[CustomerRef]] &lt;&gt;"",COUNTIFS(tblTransactions[CustomerRef],tblTransactions[[#This Row],[CustomerRef]],tblTransactions[Amount],tblTransactions[[#This Row],[Amount]],tblTransactions[Date],tblTransactions[[#This Row],[Date]])&gt;1),"Yes","No")</f>
        <v>No</v>
      </c>
    </row>
    <row r="197" spans="1:15" x14ac:dyDescent="0.3">
      <c r="A197" t="s">
        <v>584</v>
      </c>
      <c r="B197" s="2">
        <v>46209.76666666667</v>
      </c>
      <c r="C197" t="s">
        <v>47</v>
      </c>
      <c r="D197" t="s">
        <v>20</v>
      </c>
      <c r="E197" s="6">
        <v>73582.7</v>
      </c>
      <c r="F197" t="s">
        <v>11</v>
      </c>
      <c r="G197" t="s">
        <v>585</v>
      </c>
      <c r="H197" t="s">
        <v>586</v>
      </c>
      <c r="I197" s="116">
        <f>INT(tblTransactions[[#This Row],[TransactionDate]])</f>
        <v>46209</v>
      </c>
      <c r="J197" t="str">
        <f>IF(tblTransactions[[#This Row],[ApprovalID]]="", "R2 - Missing Approval Reference", "")</f>
        <v/>
      </c>
      <c r="K197" t="str">
        <f>IF(AND(tblTransactions[[#This Row],[ApprovalID]]&lt;&gt;"",COUNTIFS(tblApprovals[TransactionID],tblTransactions[[#This Row],[TransactionID]],tblApprovals[ApprovalID],tblTransactions[[#This Row],[ApprovalID]])=0),"R3 - Missing or Mismatched Approval Record", "")</f>
        <v/>
      </c>
      <c r="L19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7" t="str">
        <f>IF(AND(tblTransactions[[#This Row],[TransactionStatus]]="Success",COUNTIF(tblSettlement[TransactionID],tblTransactions[[#This Row],[TransactionID]])=0)," R5 - Successful Transaction Not Settled", "")</f>
        <v/>
      </c>
      <c r="N197" t="str">
        <f>IF(AND(COUNTIF(tblSettlement[TransactionID],tblTransactions[[#This Row],[TransactionID]])&gt;0,tblTransactions[[#This Row],[Amount]]&lt;&gt;SUMIF(tblSettlement[TransactionID],tblTransactions[[#This Row],[TransactionID]],tblSettlement[SettledAmount]))," R6 - Settlement Amount Mismatch", "")</f>
        <v/>
      </c>
      <c r="O197" t="str">
        <f>IF(AND(tblTransactions[[#This Row],[CustomerRef]] &lt;&gt;"",COUNTIFS(tblTransactions[CustomerRef],tblTransactions[[#This Row],[CustomerRef]],tblTransactions[Amount],tblTransactions[[#This Row],[Amount]],tblTransactions[Date],tblTransactions[[#This Row],[Date]])&gt;1),"Yes","No")</f>
        <v>No</v>
      </c>
    </row>
    <row r="198" spans="1:15" x14ac:dyDescent="0.3">
      <c r="A198" t="s">
        <v>587</v>
      </c>
      <c r="B198" s="2">
        <v>46234.820833333331</v>
      </c>
      <c r="C198" t="s">
        <v>28</v>
      </c>
      <c r="D198" t="s">
        <v>20</v>
      </c>
      <c r="E198" s="6">
        <v>47212.21</v>
      </c>
      <c r="F198" t="s">
        <v>11</v>
      </c>
      <c r="G198" t="s">
        <v>588</v>
      </c>
      <c r="H198" t="s">
        <v>589</v>
      </c>
      <c r="I198" s="116">
        <f>INT(tblTransactions[[#This Row],[TransactionDate]])</f>
        <v>46234</v>
      </c>
      <c r="J198" t="str">
        <f>IF(tblTransactions[[#This Row],[ApprovalID]]="", "R2 - Missing Approval Reference", "")</f>
        <v/>
      </c>
      <c r="K198" t="str">
        <f>IF(AND(tblTransactions[[#This Row],[ApprovalID]]&lt;&gt;"",COUNTIFS(tblApprovals[TransactionID],tblTransactions[[#This Row],[TransactionID]],tblApprovals[ApprovalID],tblTransactions[[#This Row],[ApprovalID]])=0),"R3 - Missing or Mismatched Approval Record", "")</f>
        <v/>
      </c>
      <c r="L19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198" t="str">
        <f>IF(AND(tblTransactions[[#This Row],[TransactionStatus]]="Success",COUNTIF(tblSettlement[TransactionID],tblTransactions[[#This Row],[TransactionID]])=0)," R5 - Successful Transaction Not Settled", "")</f>
        <v/>
      </c>
      <c r="N198" t="str">
        <f>IF(AND(COUNTIF(tblSettlement[TransactionID],tblTransactions[[#This Row],[TransactionID]])&gt;0,tblTransactions[[#This Row],[Amount]]&lt;&gt;SUMIF(tblSettlement[TransactionID],tblTransactions[[#This Row],[TransactionID]],tblSettlement[SettledAmount]))," R6 - Settlement Amount Mismatch", "")</f>
        <v/>
      </c>
      <c r="O198" t="str">
        <f>IF(AND(tblTransactions[[#This Row],[CustomerRef]] &lt;&gt;"",COUNTIFS(tblTransactions[CustomerRef],tblTransactions[[#This Row],[CustomerRef]],tblTransactions[Amount],tblTransactions[[#This Row],[Amount]],tblTransactions[Date],tblTransactions[[#This Row],[Date]])&gt;1),"Yes","No")</f>
        <v>No</v>
      </c>
    </row>
    <row r="199" spans="1:15" x14ac:dyDescent="0.3">
      <c r="A199" t="s">
        <v>590</v>
      </c>
      <c r="B199" s="2">
        <v>46273.577777777777</v>
      </c>
      <c r="C199" t="s">
        <v>28</v>
      </c>
      <c r="D199" t="s">
        <v>29</v>
      </c>
      <c r="E199" s="6">
        <v>48298.97</v>
      </c>
      <c r="F199" t="s">
        <v>11</v>
      </c>
      <c r="G199" t="s">
        <v>591</v>
      </c>
      <c r="H199" t="s">
        <v>592</v>
      </c>
      <c r="I199" s="116">
        <f>INT(tblTransactions[[#This Row],[TransactionDate]])</f>
        <v>46273</v>
      </c>
      <c r="J199" t="str">
        <f>IF(tblTransactions[[#This Row],[ApprovalID]]="", "R2 - Missing Approval Reference", "")</f>
        <v/>
      </c>
      <c r="K199" t="str">
        <f>IF(AND(tblTransactions[[#This Row],[ApprovalID]]&lt;&gt;"",COUNTIFS(tblApprovals[TransactionID],tblTransactions[[#This Row],[TransactionID]],tblApprovals[ApprovalID],tblTransactions[[#This Row],[ApprovalID]])=0),"R3 - Missing or Mismatched Approval Record", "")</f>
        <v/>
      </c>
      <c r="L19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199" t="str">
        <f>IF(AND(tblTransactions[[#This Row],[TransactionStatus]]="Success",COUNTIF(tblSettlement[TransactionID],tblTransactions[[#This Row],[TransactionID]])=0)," R5 - Successful Transaction Not Settled", "")</f>
        <v/>
      </c>
      <c r="N199" t="str">
        <f>IF(AND(COUNTIF(tblSettlement[TransactionID],tblTransactions[[#This Row],[TransactionID]])&gt;0,tblTransactions[[#This Row],[Amount]]&lt;&gt;SUMIF(tblSettlement[TransactionID],tblTransactions[[#This Row],[TransactionID]],tblSettlement[SettledAmount]))," R6 - Settlement Amount Mismatch", "")</f>
        <v/>
      </c>
      <c r="O199" t="str">
        <f>IF(AND(tblTransactions[[#This Row],[CustomerRef]] &lt;&gt;"",COUNTIFS(tblTransactions[CustomerRef],tblTransactions[[#This Row],[CustomerRef]],tblTransactions[Amount],tblTransactions[[#This Row],[Amount]],tblTransactions[Date],tblTransactions[[#This Row],[Date]])&gt;1),"Yes","No")</f>
        <v>No</v>
      </c>
    </row>
    <row r="200" spans="1:15" x14ac:dyDescent="0.3">
      <c r="A200" t="s">
        <v>593</v>
      </c>
      <c r="B200" s="2">
        <v>46284.45208333333</v>
      </c>
      <c r="C200" t="s">
        <v>43</v>
      </c>
      <c r="D200" t="s">
        <v>10</v>
      </c>
      <c r="E200" s="6">
        <v>10330.23</v>
      </c>
      <c r="F200" t="s">
        <v>11</v>
      </c>
      <c r="G200" t="s">
        <v>594</v>
      </c>
      <c r="H200" t="s">
        <v>595</v>
      </c>
      <c r="I200" s="116">
        <f>INT(tblTransactions[[#This Row],[TransactionDate]])</f>
        <v>46284</v>
      </c>
      <c r="J200" t="str">
        <f>IF(tblTransactions[[#This Row],[ApprovalID]]="", "R2 - Missing Approval Reference", "")</f>
        <v/>
      </c>
      <c r="K200" t="str">
        <f>IF(AND(tblTransactions[[#This Row],[ApprovalID]]&lt;&gt;"",COUNTIFS(tblApprovals[TransactionID],tblTransactions[[#This Row],[TransactionID]],tblApprovals[ApprovalID],tblTransactions[[#This Row],[ApprovalID]])=0),"R3 - Missing or Mismatched Approval Record", "")</f>
        <v/>
      </c>
      <c r="L20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0" t="str">
        <f>IF(AND(tblTransactions[[#This Row],[TransactionStatus]]="Success",COUNTIF(tblSettlement[TransactionID],tblTransactions[[#This Row],[TransactionID]])=0)," R5 - Successful Transaction Not Settled", "")</f>
        <v/>
      </c>
      <c r="N200" t="str">
        <f>IF(AND(COUNTIF(tblSettlement[TransactionID],tblTransactions[[#This Row],[TransactionID]])&gt;0,tblTransactions[[#This Row],[Amount]]&lt;&gt;SUMIF(tblSettlement[TransactionID],tblTransactions[[#This Row],[TransactionID]],tblSettlement[SettledAmount]))," R6 - Settlement Amount Mismatch", "")</f>
        <v/>
      </c>
      <c r="O200" t="str">
        <f>IF(AND(tblTransactions[[#This Row],[CustomerRef]] &lt;&gt;"",COUNTIFS(tblTransactions[CustomerRef],tblTransactions[[#This Row],[CustomerRef]],tblTransactions[Amount],tblTransactions[[#This Row],[Amount]],tblTransactions[Date],tblTransactions[[#This Row],[Date]])&gt;1),"Yes","No")</f>
        <v>No</v>
      </c>
    </row>
    <row r="201" spans="1:15" x14ac:dyDescent="0.3">
      <c r="A201" t="s">
        <v>596</v>
      </c>
      <c r="B201" s="2">
        <v>46229.918055555558</v>
      </c>
      <c r="C201" t="s">
        <v>43</v>
      </c>
      <c r="D201" t="s">
        <v>15</v>
      </c>
      <c r="E201" s="6">
        <v>23840.79</v>
      </c>
      <c r="F201" t="s">
        <v>11</v>
      </c>
      <c r="G201" t="s">
        <v>597</v>
      </c>
      <c r="H201" t="s">
        <v>598</v>
      </c>
      <c r="I201" s="116">
        <f>INT(tblTransactions[[#This Row],[TransactionDate]])</f>
        <v>46229</v>
      </c>
      <c r="J201" t="str">
        <f>IF(tblTransactions[[#This Row],[ApprovalID]]="", "R2 - Missing Approval Reference", "")</f>
        <v/>
      </c>
      <c r="K201" t="str">
        <f>IF(AND(tblTransactions[[#This Row],[ApprovalID]]&lt;&gt;"",COUNTIFS(tblApprovals[TransactionID],tblTransactions[[#This Row],[TransactionID]],tblApprovals[ApprovalID],tblTransactions[[#This Row],[ApprovalID]])=0),"R3 - Missing or Mismatched Approval Record", "")</f>
        <v/>
      </c>
      <c r="L20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1" t="str">
        <f>IF(AND(tblTransactions[[#This Row],[TransactionStatus]]="Success",COUNTIF(tblSettlement[TransactionID],tblTransactions[[#This Row],[TransactionID]])=0)," R5 - Successful Transaction Not Settled", "")</f>
        <v/>
      </c>
      <c r="N201" t="str">
        <f>IF(AND(COUNTIF(tblSettlement[TransactionID],tblTransactions[[#This Row],[TransactionID]])&gt;0,tblTransactions[[#This Row],[Amount]]&lt;&gt;SUMIF(tblSettlement[TransactionID],tblTransactions[[#This Row],[TransactionID]],tblSettlement[SettledAmount]))," R6 - Settlement Amount Mismatch", "")</f>
        <v/>
      </c>
      <c r="O201" t="str">
        <f>IF(AND(tblTransactions[[#This Row],[CustomerRef]] &lt;&gt;"",COUNTIFS(tblTransactions[CustomerRef],tblTransactions[[#This Row],[CustomerRef]],tblTransactions[Amount],tblTransactions[[#This Row],[Amount]],tblTransactions[Date],tblTransactions[[#This Row],[Date]])&gt;1),"Yes","No")</f>
        <v>No</v>
      </c>
    </row>
    <row r="202" spans="1:15" x14ac:dyDescent="0.3">
      <c r="A202" t="s">
        <v>599</v>
      </c>
      <c r="B202" s="2">
        <v>46286.470833333333</v>
      </c>
      <c r="C202" t="s">
        <v>28</v>
      </c>
      <c r="D202" t="s">
        <v>20</v>
      </c>
      <c r="E202" s="6">
        <v>26933.82</v>
      </c>
      <c r="F202" t="s">
        <v>11</v>
      </c>
      <c r="G202" t="s">
        <v>600</v>
      </c>
      <c r="H202" t="s">
        <v>601</v>
      </c>
      <c r="I202" s="116">
        <f>INT(tblTransactions[[#This Row],[TransactionDate]])</f>
        <v>46286</v>
      </c>
      <c r="J202" t="str">
        <f>IF(tblTransactions[[#This Row],[ApprovalID]]="", "R2 - Missing Approval Reference", "")</f>
        <v/>
      </c>
      <c r="K202" t="str">
        <f>IF(AND(tblTransactions[[#This Row],[ApprovalID]]&lt;&gt;"",COUNTIFS(tblApprovals[TransactionID],tblTransactions[[#This Row],[TransactionID]],tblApprovals[ApprovalID],tblTransactions[[#This Row],[ApprovalID]])=0),"R3 - Missing or Mismatched Approval Record", "")</f>
        <v/>
      </c>
      <c r="L20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2" t="str">
        <f>IF(AND(tblTransactions[[#This Row],[TransactionStatus]]="Success",COUNTIF(tblSettlement[TransactionID],tblTransactions[[#This Row],[TransactionID]])=0)," R5 - Successful Transaction Not Settled", "")</f>
        <v/>
      </c>
      <c r="N202" t="str">
        <f>IF(AND(COUNTIF(tblSettlement[TransactionID],tblTransactions[[#This Row],[TransactionID]])&gt;0,tblTransactions[[#This Row],[Amount]]&lt;&gt;SUMIF(tblSettlement[TransactionID],tblTransactions[[#This Row],[TransactionID]],tblSettlement[SettledAmount]))," R6 - Settlement Amount Mismatch", "")</f>
        <v/>
      </c>
      <c r="O202" t="str">
        <f>IF(AND(tblTransactions[[#This Row],[CustomerRef]] &lt;&gt;"",COUNTIFS(tblTransactions[CustomerRef],tblTransactions[[#This Row],[CustomerRef]],tblTransactions[Amount],tblTransactions[[#This Row],[Amount]],tblTransactions[Date],tblTransactions[[#This Row],[Date]])&gt;1),"Yes","No")</f>
        <v>No</v>
      </c>
    </row>
    <row r="203" spans="1:15" x14ac:dyDescent="0.3">
      <c r="A203" t="s">
        <v>602</v>
      </c>
      <c r="B203" s="2">
        <v>46259.934027777781</v>
      </c>
      <c r="C203" t="s">
        <v>43</v>
      </c>
      <c r="D203" t="s">
        <v>20</v>
      </c>
      <c r="E203" s="6">
        <v>55812.25</v>
      </c>
      <c r="F203" t="s">
        <v>111</v>
      </c>
      <c r="G203" t="s">
        <v>603</v>
      </c>
      <c r="H203" t="s">
        <v>604</v>
      </c>
      <c r="I203" s="116">
        <f>INT(tblTransactions[[#This Row],[TransactionDate]])</f>
        <v>46259</v>
      </c>
      <c r="J203" t="str">
        <f>IF(tblTransactions[[#This Row],[ApprovalID]]="", "R2 - Missing Approval Reference", "")</f>
        <v/>
      </c>
      <c r="K203" t="str">
        <f>IF(AND(tblTransactions[[#This Row],[ApprovalID]]&lt;&gt;"",COUNTIFS(tblApprovals[TransactionID],tblTransactions[[#This Row],[TransactionID]],tblApprovals[ApprovalID],tblTransactions[[#This Row],[ApprovalID]])=0),"R3 - Missing or Mismatched Approval Record", "")</f>
        <v/>
      </c>
      <c r="L20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3" t="str">
        <f>IF(AND(tblTransactions[[#This Row],[TransactionStatus]]="Success",COUNTIF(tblSettlement[TransactionID],tblTransactions[[#This Row],[TransactionID]])=0)," R5 - Successful Transaction Not Settled", "")</f>
        <v/>
      </c>
      <c r="N203" t="str">
        <f>IF(AND(COUNTIF(tblSettlement[TransactionID],tblTransactions[[#This Row],[TransactionID]])&gt;0,tblTransactions[[#This Row],[Amount]]&lt;&gt;SUMIF(tblSettlement[TransactionID],tblTransactions[[#This Row],[TransactionID]],tblSettlement[SettledAmount]))," R6 - Settlement Amount Mismatch", "")</f>
        <v/>
      </c>
      <c r="O203" t="str">
        <f>IF(AND(tblTransactions[[#This Row],[CustomerRef]] &lt;&gt;"",COUNTIFS(tblTransactions[CustomerRef],tblTransactions[[#This Row],[CustomerRef]],tblTransactions[Amount],tblTransactions[[#This Row],[Amount]],tblTransactions[Date],tblTransactions[[#This Row],[Date]])&gt;1),"Yes","No")</f>
        <v>No</v>
      </c>
    </row>
    <row r="204" spans="1:15" x14ac:dyDescent="0.3">
      <c r="A204" t="s">
        <v>605</v>
      </c>
      <c r="B204" s="2">
        <v>46292.640972222223</v>
      </c>
      <c r="C204" t="s">
        <v>47</v>
      </c>
      <c r="D204" t="s">
        <v>29</v>
      </c>
      <c r="E204" s="6">
        <v>69342.210000000006</v>
      </c>
      <c r="F204" t="s">
        <v>11</v>
      </c>
      <c r="H204" t="s">
        <v>606</v>
      </c>
      <c r="I204" s="116">
        <f>INT(tblTransactions[[#This Row],[TransactionDate]])</f>
        <v>46292</v>
      </c>
      <c r="J204" t="str">
        <f>IF(tblTransactions[[#This Row],[ApprovalID]]="", "R2 - Missing Approval Reference", "")</f>
        <v>R2 - Missing Approval Reference</v>
      </c>
      <c r="K204" t="str">
        <f>IF(AND(tblTransactions[[#This Row],[ApprovalID]]&lt;&gt;"",COUNTIFS(tblApprovals[TransactionID],tblTransactions[[#This Row],[TransactionID]],tblApprovals[ApprovalID],tblTransactions[[#This Row],[ApprovalID]])=0),"R3 - Missing or Mismatched Approval Record", "")</f>
        <v/>
      </c>
      <c r="L20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4" t="str">
        <f>IF(AND(tblTransactions[[#This Row],[TransactionStatus]]="Success",COUNTIF(tblSettlement[TransactionID],tblTransactions[[#This Row],[TransactionID]])=0)," R5 - Successful Transaction Not Settled", "")</f>
        <v/>
      </c>
      <c r="N204" t="str">
        <f>IF(AND(COUNTIF(tblSettlement[TransactionID],tblTransactions[[#This Row],[TransactionID]])&gt;0,tblTransactions[[#This Row],[Amount]]&lt;&gt;SUMIF(tblSettlement[TransactionID],tblTransactions[[#This Row],[TransactionID]],tblSettlement[SettledAmount]))," R6 - Settlement Amount Mismatch", "")</f>
        <v/>
      </c>
      <c r="O204" t="str">
        <f>IF(AND(tblTransactions[[#This Row],[CustomerRef]] &lt;&gt;"",COUNTIFS(tblTransactions[CustomerRef],tblTransactions[[#This Row],[CustomerRef]],tblTransactions[Amount],tblTransactions[[#This Row],[Amount]],tblTransactions[Date],tblTransactions[[#This Row],[Date]])&gt;1),"Yes","No")</f>
        <v>No</v>
      </c>
    </row>
    <row r="205" spans="1:15" x14ac:dyDescent="0.3">
      <c r="A205" t="s">
        <v>607</v>
      </c>
      <c r="B205" s="2">
        <v>46273.513888888891</v>
      </c>
      <c r="C205" t="s">
        <v>24</v>
      </c>
      <c r="D205" t="s">
        <v>20</v>
      </c>
      <c r="E205" s="6">
        <v>7919.19</v>
      </c>
      <c r="F205" t="s">
        <v>11</v>
      </c>
      <c r="G205" t="s">
        <v>608</v>
      </c>
      <c r="H205" t="s">
        <v>609</v>
      </c>
      <c r="I205" s="116">
        <f>INT(tblTransactions[[#This Row],[TransactionDate]])</f>
        <v>46273</v>
      </c>
      <c r="J205" t="str">
        <f>IF(tblTransactions[[#This Row],[ApprovalID]]="", "R2 - Missing Approval Reference", "")</f>
        <v/>
      </c>
      <c r="K205" t="str">
        <f>IF(AND(tblTransactions[[#This Row],[ApprovalID]]&lt;&gt;"",COUNTIFS(tblApprovals[TransactionID],tblTransactions[[#This Row],[TransactionID]],tblApprovals[ApprovalID],tblTransactions[[#This Row],[ApprovalID]])=0),"R3 - Missing or Mismatched Approval Record", "")</f>
        <v/>
      </c>
      <c r="L20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5" t="str">
        <f>IF(AND(tblTransactions[[#This Row],[TransactionStatus]]="Success",COUNTIF(tblSettlement[TransactionID],tblTransactions[[#This Row],[TransactionID]])=0)," R5 - Successful Transaction Not Settled", "")</f>
        <v/>
      </c>
      <c r="N205" t="str">
        <f>IF(AND(COUNTIF(tblSettlement[TransactionID],tblTransactions[[#This Row],[TransactionID]])&gt;0,tblTransactions[[#This Row],[Amount]]&lt;&gt;SUMIF(tblSettlement[TransactionID],tblTransactions[[#This Row],[TransactionID]],tblSettlement[SettledAmount]))," R6 - Settlement Amount Mismatch", "")</f>
        <v/>
      </c>
      <c r="O205" t="str">
        <f>IF(AND(tblTransactions[[#This Row],[CustomerRef]] &lt;&gt;"",COUNTIFS(tblTransactions[CustomerRef],tblTransactions[[#This Row],[CustomerRef]],tblTransactions[Amount],tblTransactions[[#This Row],[Amount]],tblTransactions[Date],tblTransactions[[#This Row],[Date]])&gt;1),"Yes","No")</f>
        <v>No</v>
      </c>
    </row>
    <row r="206" spans="1:15" x14ac:dyDescent="0.3">
      <c r="A206" t="s">
        <v>610</v>
      </c>
      <c r="B206" s="2">
        <v>46225.811111111114</v>
      </c>
      <c r="C206" t="s">
        <v>24</v>
      </c>
      <c r="D206" t="s">
        <v>15</v>
      </c>
      <c r="E206" s="6">
        <v>26528.14</v>
      </c>
      <c r="F206" t="s">
        <v>11</v>
      </c>
      <c r="G206" t="s">
        <v>611</v>
      </c>
      <c r="H206" t="s">
        <v>612</v>
      </c>
      <c r="I206" s="116">
        <f>INT(tblTransactions[[#This Row],[TransactionDate]])</f>
        <v>46225</v>
      </c>
      <c r="J206" t="str">
        <f>IF(tblTransactions[[#This Row],[ApprovalID]]="", "R2 - Missing Approval Reference", "")</f>
        <v/>
      </c>
      <c r="K206" t="str">
        <f>IF(AND(tblTransactions[[#This Row],[ApprovalID]]&lt;&gt;"",COUNTIFS(tblApprovals[TransactionID],tblTransactions[[#This Row],[TransactionID]],tblApprovals[ApprovalID],tblTransactions[[#This Row],[ApprovalID]])=0),"R3 - Missing or Mismatched Approval Record", "")</f>
        <v/>
      </c>
      <c r="L20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6" t="str">
        <f>IF(AND(tblTransactions[[#This Row],[TransactionStatus]]="Success",COUNTIF(tblSettlement[TransactionID],tblTransactions[[#This Row],[TransactionID]])=0)," R5 - Successful Transaction Not Settled", "")</f>
        <v/>
      </c>
      <c r="N206" t="str">
        <f>IF(AND(COUNTIF(tblSettlement[TransactionID],tblTransactions[[#This Row],[TransactionID]])&gt;0,tblTransactions[[#This Row],[Amount]]&lt;&gt;SUMIF(tblSettlement[TransactionID],tblTransactions[[#This Row],[TransactionID]],tblSettlement[SettledAmount]))," R6 - Settlement Amount Mismatch", "")</f>
        <v/>
      </c>
      <c r="O206" t="str">
        <f>IF(AND(tblTransactions[[#This Row],[CustomerRef]] &lt;&gt;"",COUNTIFS(tblTransactions[CustomerRef],tblTransactions[[#This Row],[CustomerRef]],tblTransactions[Amount],tblTransactions[[#This Row],[Amount]],tblTransactions[Date],tblTransactions[[#This Row],[Date]])&gt;1),"Yes","No")</f>
        <v>No</v>
      </c>
    </row>
    <row r="207" spans="1:15" x14ac:dyDescent="0.3">
      <c r="A207" t="s">
        <v>613</v>
      </c>
      <c r="B207" s="2">
        <v>46285.835416666669</v>
      </c>
      <c r="C207" t="s">
        <v>24</v>
      </c>
      <c r="D207" t="s">
        <v>15</v>
      </c>
      <c r="E207" s="6">
        <v>5859.33</v>
      </c>
      <c r="F207" t="s">
        <v>11</v>
      </c>
      <c r="G207" t="s">
        <v>614</v>
      </c>
      <c r="H207" t="s">
        <v>58</v>
      </c>
      <c r="I207" s="116">
        <f>INT(tblTransactions[[#This Row],[TransactionDate]])</f>
        <v>46285</v>
      </c>
      <c r="J207" t="str">
        <f>IF(tblTransactions[[#This Row],[ApprovalID]]="", "R2 - Missing Approval Reference", "")</f>
        <v/>
      </c>
      <c r="K207" t="str">
        <f>IF(AND(tblTransactions[[#This Row],[ApprovalID]]&lt;&gt;"",COUNTIFS(tblApprovals[TransactionID],tblTransactions[[#This Row],[TransactionID]],tblApprovals[ApprovalID],tblTransactions[[#This Row],[ApprovalID]])=0),"R3 - Missing or Mismatched Approval Record", "")</f>
        <v/>
      </c>
      <c r="L20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7" t="str">
        <f>IF(AND(tblTransactions[[#This Row],[TransactionStatus]]="Success",COUNTIF(tblSettlement[TransactionID],tblTransactions[[#This Row],[TransactionID]])=0)," R5 - Successful Transaction Not Settled", "")</f>
        <v/>
      </c>
      <c r="N207" t="str">
        <f>IF(AND(COUNTIF(tblSettlement[TransactionID],tblTransactions[[#This Row],[TransactionID]])&gt;0,tblTransactions[[#This Row],[Amount]]&lt;&gt;SUMIF(tblSettlement[TransactionID],tblTransactions[[#This Row],[TransactionID]],tblSettlement[SettledAmount]))," R6 - Settlement Amount Mismatch", "")</f>
        <v/>
      </c>
      <c r="O207" t="str">
        <f>IF(AND(tblTransactions[[#This Row],[CustomerRef]] &lt;&gt;"",COUNTIFS(tblTransactions[CustomerRef],tblTransactions[[#This Row],[CustomerRef]],tblTransactions[Amount],tblTransactions[[#This Row],[Amount]],tblTransactions[Date],tblTransactions[[#This Row],[Date]])&gt;1),"Yes","No")</f>
        <v>No</v>
      </c>
    </row>
    <row r="208" spans="1:15" x14ac:dyDescent="0.3">
      <c r="A208" t="s">
        <v>615</v>
      </c>
      <c r="B208" s="2">
        <v>46207.45416666667</v>
      </c>
      <c r="C208" t="s">
        <v>47</v>
      </c>
      <c r="D208" t="s">
        <v>69</v>
      </c>
      <c r="E208" s="6">
        <v>45666.07</v>
      </c>
      <c r="F208" t="s">
        <v>11</v>
      </c>
      <c r="H208" t="s">
        <v>616</v>
      </c>
      <c r="I208" s="116">
        <f>INT(tblTransactions[[#This Row],[TransactionDate]])</f>
        <v>46207</v>
      </c>
      <c r="J208" t="str">
        <f>IF(tblTransactions[[#This Row],[ApprovalID]]="", "R2 - Missing Approval Reference", "")</f>
        <v>R2 - Missing Approval Reference</v>
      </c>
      <c r="K208" t="str">
        <f>IF(AND(tblTransactions[[#This Row],[ApprovalID]]&lt;&gt;"",COUNTIFS(tblApprovals[TransactionID],tblTransactions[[#This Row],[TransactionID]],tblApprovals[ApprovalID],tblTransactions[[#This Row],[ApprovalID]])=0),"R3 - Missing or Mismatched Approval Record", "")</f>
        <v/>
      </c>
      <c r="L20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8" t="str">
        <f>IF(AND(tblTransactions[[#This Row],[TransactionStatus]]="Success",COUNTIF(tblSettlement[TransactionID],tblTransactions[[#This Row],[TransactionID]])=0)," R5 - Successful Transaction Not Settled", "")</f>
        <v/>
      </c>
      <c r="N208" t="str">
        <f>IF(AND(COUNTIF(tblSettlement[TransactionID],tblTransactions[[#This Row],[TransactionID]])&gt;0,tblTransactions[[#This Row],[Amount]]&lt;&gt;SUMIF(tblSettlement[TransactionID],tblTransactions[[#This Row],[TransactionID]],tblSettlement[SettledAmount]))," R6 - Settlement Amount Mismatch", "")</f>
        <v/>
      </c>
      <c r="O208" t="str">
        <f>IF(AND(tblTransactions[[#This Row],[CustomerRef]] &lt;&gt;"",COUNTIFS(tblTransactions[CustomerRef],tblTransactions[[#This Row],[CustomerRef]],tblTransactions[Amount],tblTransactions[[#This Row],[Amount]],tblTransactions[Date],tblTransactions[[#This Row],[Date]])&gt;1),"Yes","No")</f>
        <v>No</v>
      </c>
    </row>
    <row r="209" spans="1:15" x14ac:dyDescent="0.3">
      <c r="A209" t="s">
        <v>617</v>
      </c>
      <c r="B209" s="2">
        <v>46250.60833333333</v>
      </c>
      <c r="C209" t="s">
        <v>43</v>
      </c>
      <c r="D209" t="s">
        <v>20</v>
      </c>
      <c r="E209" s="6">
        <v>2670.8</v>
      </c>
      <c r="F209" t="s">
        <v>11</v>
      </c>
      <c r="G209" t="s">
        <v>618</v>
      </c>
      <c r="H209" t="s">
        <v>619</v>
      </c>
      <c r="I209" s="116">
        <f>INT(tblTransactions[[#This Row],[TransactionDate]])</f>
        <v>46250</v>
      </c>
      <c r="J209" t="str">
        <f>IF(tblTransactions[[#This Row],[ApprovalID]]="", "R2 - Missing Approval Reference", "")</f>
        <v/>
      </c>
      <c r="K209" t="str">
        <f>IF(AND(tblTransactions[[#This Row],[ApprovalID]]&lt;&gt;"",COUNTIFS(tblApprovals[TransactionID],tblTransactions[[#This Row],[TransactionID]],tblApprovals[ApprovalID],tblTransactions[[#This Row],[ApprovalID]])=0),"R3 - Missing or Mismatched Approval Record", "")</f>
        <v/>
      </c>
      <c r="L20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09" t="str">
        <f>IF(AND(tblTransactions[[#This Row],[TransactionStatus]]="Success",COUNTIF(tblSettlement[TransactionID],tblTransactions[[#This Row],[TransactionID]])=0)," R5 - Successful Transaction Not Settled", "")</f>
        <v/>
      </c>
      <c r="N209" t="str">
        <f>IF(AND(COUNTIF(tblSettlement[TransactionID],tblTransactions[[#This Row],[TransactionID]])&gt;0,tblTransactions[[#This Row],[Amount]]&lt;&gt;SUMIF(tblSettlement[TransactionID],tblTransactions[[#This Row],[TransactionID]],tblSettlement[SettledAmount]))," R6 - Settlement Amount Mismatch", "")</f>
        <v/>
      </c>
      <c r="O209" t="str">
        <f>IF(AND(tblTransactions[[#This Row],[CustomerRef]] &lt;&gt;"",COUNTIFS(tblTransactions[CustomerRef],tblTransactions[[#This Row],[CustomerRef]],tblTransactions[Amount],tblTransactions[[#This Row],[Amount]],tblTransactions[Date],tblTransactions[[#This Row],[Date]])&gt;1),"Yes","No")</f>
        <v>No</v>
      </c>
    </row>
    <row r="210" spans="1:15" x14ac:dyDescent="0.3">
      <c r="A210" t="s">
        <v>620</v>
      </c>
      <c r="B210" s="2">
        <v>46277.439583333333</v>
      </c>
      <c r="C210" t="s">
        <v>24</v>
      </c>
      <c r="D210" t="s">
        <v>69</v>
      </c>
      <c r="E210" s="6">
        <v>27679.51</v>
      </c>
      <c r="F210" t="s">
        <v>11</v>
      </c>
      <c r="G210" t="s">
        <v>621</v>
      </c>
      <c r="H210" t="s">
        <v>622</v>
      </c>
      <c r="I210" s="116">
        <f>INT(tblTransactions[[#This Row],[TransactionDate]])</f>
        <v>46277</v>
      </c>
      <c r="J210" t="str">
        <f>IF(tblTransactions[[#This Row],[ApprovalID]]="", "R2 - Missing Approval Reference", "")</f>
        <v/>
      </c>
      <c r="K210" t="str">
        <f>IF(AND(tblTransactions[[#This Row],[ApprovalID]]&lt;&gt;"",COUNTIFS(tblApprovals[TransactionID],tblTransactions[[#This Row],[TransactionID]],tblApprovals[ApprovalID],tblTransactions[[#This Row],[ApprovalID]])=0),"R3 - Missing or Mismatched Approval Record", "")</f>
        <v/>
      </c>
      <c r="L21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0" t="str">
        <f>IF(AND(tblTransactions[[#This Row],[TransactionStatus]]="Success",COUNTIF(tblSettlement[TransactionID],tblTransactions[[#This Row],[TransactionID]])=0)," R5 - Successful Transaction Not Settled", "")</f>
        <v/>
      </c>
      <c r="N210" t="str">
        <f>IF(AND(COUNTIF(tblSettlement[TransactionID],tblTransactions[[#This Row],[TransactionID]])&gt;0,tblTransactions[[#This Row],[Amount]]&lt;&gt;SUMIF(tblSettlement[TransactionID],tblTransactions[[#This Row],[TransactionID]],tblSettlement[SettledAmount]))," R6 - Settlement Amount Mismatch", "")</f>
        <v/>
      </c>
      <c r="O210" t="str">
        <f>IF(AND(tblTransactions[[#This Row],[CustomerRef]] &lt;&gt;"",COUNTIFS(tblTransactions[CustomerRef],tblTransactions[[#This Row],[CustomerRef]],tblTransactions[Amount],tblTransactions[[#This Row],[Amount]],tblTransactions[Date],tblTransactions[[#This Row],[Date]])&gt;1),"Yes","No")</f>
        <v>No</v>
      </c>
    </row>
    <row r="211" spans="1:15" x14ac:dyDescent="0.3">
      <c r="A211" t="s">
        <v>623</v>
      </c>
      <c r="B211" s="2">
        <v>46227.647916666669</v>
      </c>
      <c r="C211" t="s">
        <v>24</v>
      </c>
      <c r="D211" t="s">
        <v>20</v>
      </c>
      <c r="E211" s="6">
        <v>29177.31</v>
      </c>
      <c r="F211" t="s">
        <v>11</v>
      </c>
      <c r="G211" t="s">
        <v>624</v>
      </c>
      <c r="H211" t="s">
        <v>625</v>
      </c>
      <c r="I211" s="116">
        <f>INT(tblTransactions[[#This Row],[TransactionDate]])</f>
        <v>46227</v>
      </c>
      <c r="J211" t="str">
        <f>IF(tblTransactions[[#This Row],[ApprovalID]]="", "R2 - Missing Approval Reference", "")</f>
        <v/>
      </c>
      <c r="K211" t="str">
        <f>IF(AND(tblTransactions[[#This Row],[ApprovalID]]&lt;&gt;"",COUNTIFS(tblApprovals[TransactionID],tblTransactions[[#This Row],[TransactionID]],tblApprovals[ApprovalID],tblTransactions[[#This Row],[ApprovalID]])=0),"R3 - Missing or Mismatched Approval Record", "")</f>
        <v/>
      </c>
      <c r="L21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1" t="str">
        <f>IF(AND(tblTransactions[[#This Row],[TransactionStatus]]="Success",COUNTIF(tblSettlement[TransactionID],tblTransactions[[#This Row],[TransactionID]])=0)," R5 - Successful Transaction Not Settled", "")</f>
        <v/>
      </c>
      <c r="N211"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211" t="str">
        <f>IF(AND(tblTransactions[[#This Row],[CustomerRef]] &lt;&gt;"",COUNTIFS(tblTransactions[CustomerRef],tblTransactions[[#This Row],[CustomerRef]],tblTransactions[Amount],tblTransactions[[#This Row],[Amount]],tblTransactions[Date],tblTransactions[[#This Row],[Date]])&gt;1),"Yes","No")</f>
        <v>No</v>
      </c>
    </row>
    <row r="212" spans="1:15" x14ac:dyDescent="0.3">
      <c r="A212" t="s">
        <v>626</v>
      </c>
      <c r="B212" s="2">
        <v>46282.530555555553</v>
      </c>
      <c r="C212" t="s">
        <v>47</v>
      </c>
      <c r="D212" t="s">
        <v>69</v>
      </c>
      <c r="E212" s="6">
        <v>68756.800000000003</v>
      </c>
      <c r="F212" t="s">
        <v>11</v>
      </c>
      <c r="G212" t="s">
        <v>627</v>
      </c>
      <c r="H212" t="s">
        <v>628</v>
      </c>
      <c r="I212" s="116">
        <f>INT(tblTransactions[[#This Row],[TransactionDate]])</f>
        <v>46282</v>
      </c>
      <c r="J212" t="str">
        <f>IF(tblTransactions[[#This Row],[ApprovalID]]="", "R2 - Missing Approval Reference", "")</f>
        <v/>
      </c>
      <c r="K212" t="str">
        <f>IF(AND(tblTransactions[[#This Row],[ApprovalID]]&lt;&gt;"",COUNTIFS(tblApprovals[TransactionID],tblTransactions[[#This Row],[TransactionID]],tblApprovals[ApprovalID],tblTransactions[[#This Row],[ApprovalID]])=0),"R3 - Missing or Mismatched Approval Record", "")</f>
        <v/>
      </c>
      <c r="L21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2" t="str">
        <f>IF(AND(tblTransactions[[#This Row],[TransactionStatus]]="Success",COUNTIF(tblSettlement[TransactionID],tblTransactions[[#This Row],[TransactionID]])=0)," R5 - Successful Transaction Not Settled", "")</f>
        <v/>
      </c>
      <c r="N212" t="str">
        <f>IF(AND(COUNTIF(tblSettlement[TransactionID],tblTransactions[[#This Row],[TransactionID]])&gt;0,tblTransactions[[#This Row],[Amount]]&lt;&gt;SUMIF(tblSettlement[TransactionID],tblTransactions[[#This Row],[TransactionID]],tblSettlement[SettledAmount]))," R6 - Settlement Amount Mismatch", "")</f>
        <v/>
      </c>
      <c r="O212" t="str">
        <f>IF(AND(tblTransactions[[#This Row],[CustomerRef]] &lt;&gt;"",COUNTIFS(tblTransactions[CustomerRef],tblTransactions[[#This Row],[CustomerRef]],tblTransactions[Amount],tblTransactions[[#This Row],[Amount]],tblTransactions[Date],tblTransactions[[#This Row],[Date]])&gt;1),"Yes","No")</f>
        <v>No</v>
      </c>
    </row>
    <row r="213" spans="1:15" x14ac:dyDescent="0.3">
      <c r="A213" t="s">
        <v>629</v>
      </c>
      <c r="B213" s="2">
        <v>46226.947916666664</v>
      </c>
      <c r="C213" t="s">
        <v>28</v>
      </c>
      <c r="D213" t="s">
        <v>20</v>
      </c>
      <c r="E213" s="6">
        <v>33522.06</v>
      </c>
      <c r="F213" t="s">
        <v>11</v>
      </c>
      <c r="G213" t="s">
        <v>630</v>
      </c>
      <c r="H213" t="s">
        <v>631</v>
      </c>
      <c r="I213" s="116">
        <f>INT(tblTransactions[[#This Row],[TransactionDate]])</f>
        <v>46226</v>
      </c>
      <c r="J213" t="str">
        <f>IF(tblTransactions[[#This Row],[ApprovalID]]="", "R2 - Missing Approval Reference", "")</f>
        <v/>
      </c>
      <c r="K213" t="str">
        <f>IF(AND(tblTransactions[[#This Row],[ApprovalID]]&lt;&gt;"",COUNTIFS(tblApprovals[TransactionID],tblTransactions[[#This Row],[TransactionID]],tblApprovals[ApprovalID],tblTransactions[[#This Row],[ApprovalID]])=0),"R3 - Missing or Mismatched Approval Record", "")</f>
        <v/>
      </c>
      <c r="L21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3" t="str">
        <f>IF(AND(tblTransactions[[#This Row],[TransactionStatus]]="Success",COUNTIF(tblSettlement[TransactionID],tblTransactions[[#This Row],[TransactionID]])=0)," R5 - Successful Transaction Not Settled", "")</f>
        <v/>
      </c>
      <c r="N213" t="str">
        <f>IF(AND(COUNTIF(tblSettlement[TransactionID],tblTransactions[[#This Row],[TransactionID]])&gt;0,tblTransactions[[#This Row],[Amount]]&lt;&gt;SUMIF(tblSettlement[TransactionID],tblTransactions[[#This Row],[TransactionID]],tblSettlement[SettledAmount]))," R6 - Settlement Amount Mismatch", "")</f>
        <v/>
      </c>
      <c r="O213" t="str">
        <f>IF(AND(tblTransactions[[#This Row],[CustomerRef]] &lt;&gt;"",COUNTIFS(tblTransactions[CustomerRef],tblTransactions[[#This Row],[CustomerRef]],tblTransactions[Amount],tblTransactions[[#This Row],[Amount]],tblTransactions[Date],tblTransactions[[#This Row],[Date]])&gt;1),"Yes","No")</f>
        <v>No</v>
      </c>
    </row>
    <row r="214" spans="1:15" x14ac:dyDescent="0.3">
      <c r="A214" t="s">
        <v>632</v>
      </c>
      <c r="B214" s="2">
        <v>46274.679166666669</v>
      </c>
      <c r="C214" t="s">
        <v>28</v>
      </c>
      <c r="D214" t="s">
        <v>69</v>
      </c>
      <c r="E214" s="6">
        <v>66877.039999999994</v>
      </c>
      <c r="F214" t="s">
        <v>11</v>
      </c>
      <c r="G214" t="s">
        <v>633</v>
      </c>
      <c r="H214" t="s">
        <v>634</v>
      </c>
      <c r="I214" s="116">
        <f>INT(tblTransactions[[#This Row],[TransactionDate]])</f>
        <v>46274</v>
      </c>
      <c r="J214" t="str">
        <f>IF(tblTransactions[[#This Row],[ApprovalID]]="", "R2 - Missing Approval Reference", "")</f>
        <v/>
      </c>
      <c r="K214" t="str">
        <f>IF(AND(tblTransactions[[#This Row],[ApprovalID]]&lt;&gt;"",COUNTIFS(tblApprovals[TransactionID],tblTransactions[[#This Row],[TransactionID]],tblApprovals[ApprovalID],tblTransactions[[#This Row],[ApprovalID]])=0),"R3 - Missing or Mismatched Approval Record", "")</f>
        <v/>
      </c>
      <c r="L21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4" t="str">
        <f>IF(AND(tblTransactions[[#This Row],[TransactionStatus]]="Success",COUNTIF(tblSettlement[TransactionID],tblTransactions[[#This Row],[TransactionID]])=0)," R5 - Successful Transaction Not Settled", "")</f>
        <v/>
      </c>
      <c r="N214" t="str">
        <f>IF(AND(COUNTIF(tblSettlement[TransactionID],tblTransactions[[#This Row],[TransactionID]])&gt;0,tblTransactions[[#This Row],[Amount]]&lt;&gt;SUMIF(tblSettlement[TransactionID],tblTransactions[[#This Row],[TransactionID]],tblSettlement[SettledAmount]))," R6 - Settlement Amount Mismatch", "")</f>
        <v/>
      </c>
      <c r="O214" t="str">
        <f>IF(AND(tblTransactions[[#This Row],[CustomerRef]] &lt;&gt;"",COUNTIFS(tblTransactions[CustomerRef],tblTransactions[[#This Row],[CustomerRef]],tblTransactions[Amount],tblTransactions[[#This Row],[Amount]],tblTransactions[Date],tblTransactions[[#This Row],[Date]])&gt;1),"Yes","No")</f>
        <v>No</v>
      </c>
    </row>
    <row r="215" spans="1:15" x14ac:dyDescent="0.3">
      <c r="A215" t="s">
        <v>635</v>
      </c>
      <c r="B215" s="2">
        <v>46232.383333333331</v>
      </c>
      <c r="C215" t="s">
        <v>43</v>
      </c>
      <c r="D215" t="s">
        <v>10</v>
      </c>
      <c r="E215" s="6">
        <v>59456.91</v>
      </c>
      <c r="F215" t="s">
        <v>11</v>
      </c>
      <c r="G215" t="s">
        <v>636</v>
      </c>
      <c r="H215" t="s">
        <v>637</v>
      </c>
      <c r="I215" s="116">
        <f>INT(tblTransactions[[#This Row],[TransactionDate]])</f>
        <v>46232</v>
      </c>
      <c r="J215" t="str">
        <f>IF(tblTransactions[[#This Row],[ApprovalID]]="", "R2 - Missing Approval Reference", "")</f>
        <v/>
      </c>
      <c r="K215" t="str">
        <f>IF(AND(tblTransactions[[#This Row],[ApprovalID]]&lt;&gt;"",COUNTIFS(tblApprovals[TransactionID],tblTransactions[[#This Row],[TransactionID]],tblApprovals[ApprovalID],tblTransactions[[#This Row],[ApprovalID]])=0),"R3 - Missing or Mismatched Approval Record", "")</f>
        <v/>
      </c>
      <c r="L21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5" t="str">
        <f>IF(AND(tblTransactions[[#This Row],[TransactionStatus]]="Success",COUNTIF(tblSettlement[TransactionID],tblTransactions[[#This Row],[TransactionID]])=0)," R5 - Successful Transaction Not Settled", "")</f>
        <v/>
      </c>
      <c r="N215" t="str">
        <f>IF(AND(COUNTIF(tblSettlement[TransactionID],tblTransactions[[#This Row],[TransactionID]])&gt;0,tblTransactions[[#This Row],[Amount]]&lt;&gt;SUMIF(tblSettlement[TransactionID],tblTransactions[[#This Row],[TransactionID]],tblSettlement[SettledAmount]))," R6 - Settlement Amount Mismatch", "")</f>
        <v/>
      </c>
      <c r="O215" t="str">
        <f>IF(AND(tblTransactions[[#This Row],[CustomerRef]] &lt;&gt;"",COUNTIFS(tblTransactions[CustomerRef],tblTransactions[[#This Row],[CustomerRef]],tblTransactions[Amount],tblTransactions[[#This Row],[Amount]],tblTransactions[Date],tblTransactions[[#This Row],[Date]])&gt;1),"Yes","No")</f>
        <v>No</v>
      </c>
    </row>
    <row r="216" spans="1:15" x14ac:dyDescent="0.3">
      <c r="A216" t="s">
        <v>638</v>
      </c>
      <c r="B216" s="2">
        <v>46263.857638888891</v>
      </c>
      <c r="C216" t="s">
        <v>47</v>
      </c>
      <c r="D216" t="s">
        <v>20</v>
      </c>
      <c r="E216" s="6">
        <v>9950.4</v>
      </c>
      <c r="F216" t="s">
        <v>111</v>
      </c>
      <c r="G216" t="s">
        <v>639</v>
      </c>
      <c r="H216" t="s">
        <v>640</v>
      </c>
      <c r="I216" s="116">
        <f>INT(tblTransactions[[#This Row],[TransactionDate]])</f>
        <v>46263</v>
      </c>
      <c r="J216" t="str">
        <f>IF(tblTransactions[[#This Row],[ApprovalID]]="", "R2 - Missing Approval Reference", "")</f>
        <v/>
      </c>
      <c r="K216" t="str">
        <f>IF(AND(tblTransactions[[#This Row],[ApprovalID]]&lt;&gt;"",COUNTIFS(tblApprovals[TransactionID],tblTransactions[[#This Row],[TransactionID]],tblApprovals[ApprovalID],tblTransactions[[#This Row],[ApprovalID]])=0),"R3 - Missing or Mismatched Approval Record", "")</f>
        <v/>
      </c>
      <c r="L21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6" t="str">
        <f>IF(AND(tblTransactions[[#This Row],[TransactionStatus]]="Success",COUNTIF(tblSettlement[TransactionID],tblTransactions[[#This Row],[TransactionID]])=0)," R5 - Successful Transaction Not Settled", "")</f>
        <v/>
      </c>
      <c r="N216" t="str">
        <f>IF(AND(COUNTIF(tblSettlement[TransactionID],tblTransactions[[#This Row],[TransactionID]])&gt;0,tblTransactions[[#This Row],[Amount]]&lt;&gt;SUMIF(tblSettlement[TransactionID],tblTransactions[[#This Row],[TransactionID]],tblSettlement[SettledAmount]))," R6 - Settlement Amount Mismatch", "")</f>
        <v/>
      </c>
      <c r="O216" t="str">
        <f>IF(AND(tblTransactions[[#This Row],[CustomerRef]] &lt;&gt;"",COUNTIFS(tblTransactions[CustomerRef],tblTransactions[[#This Row],[CustomerRef]],tblTransactions[Amount],tblTransactions[[#This Row],[Amount]],tblTransactions[Date],tblTransactions[[#This Row],[Date]])&gt;1),"Yes","No")</f>
        <v>No</v>
      </c>
    </row>
    <row r="217" spans="1:15" x14ac:dyDescent="0.3">
      <c r="A217" t="s">
        <v>641</v>
      </c>
      <c r="B217" s="2">
        <v>46271.617361111108</v>
      </c>
      <c r="C217" t="s">
        <v>9</v>
      </c>
      <c r="D217" t="s">
        <v>20</v>
      </c>
      <c r="E217" s="6">
        <v>30855.16</v>
      </c>
      <c r="F217" t="s">
        <v>11</v>
      </c>
      <c r="G217" t="s">
        <v>642</v>
      </c>
      <c r="H217" t="s">
        <v>643</v>
      </c>
      <c r="I217" s="116">
        <f>INT(tblTransactions[[#This Row],[TransactionDate]])</f>
        <v>46271</v>
      </c>
      <c r="J217" t="str">
        <f>IF(tblTransactions[[#This Row],[ApprovalID]]="", "R2 - Missing Approval Reference", "")</f>
        <v/>
      </c>
      <c r="K217" t="str">
        <f>IF(AND(tblTransactions[[#This Row],[ApprovalID]]&lt;&gt;"",COUNTIFS(tblApprovals[TransactionID],tblTransactions[[#This Row],[TransactionID]],tblApprovals[ApprovalID],tblTransactions[[#This Row],[ApprovalID]])=0),"R3 - Missing or Mismatched Approval Record", "")</f>
        <v/>
      </c>
      <c r="L21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7" t="str">
        <f>IF(AND(tblTransactions[[#This Row],[TransactionStatus]]="Success",COUNTIF(tblSettlement[TransactionID],tblTransactions[[#This Row],[TransactionID]])=0)," R5 - Successful Transaction Not Settled", "")</f>
        <v/>
      </c>
      <c r="N217" t="str">
        <f>IF(AND(COUNTIF(tblSettlement[TransactionID],tblTransactions[[#This Row],[TransactionID]])&gt;0,tblTransactions[[#This Row],[Amount]]&lt;&gt;SUMIF(tblSettlement[TransactionID],tblTransactions[[#This Row],[TransactionID]],tblSettlement[SettledAmount]))," R6 - Settlement Amount Mismatch", "")</f>
        <v/>
      </c>
      <c r="O217" t="str">
        <f>IF(AND(tblTransactions[[#This Row],[CustomerRef]] &lt;&gt;"",COUNTIFS(tblTransactions[CustomerRef],tblTransactions[[#This Row],[CustomerRef]],tblTransactions[Amount],tblTransactions[[#This Row],[Amount]],tblTransactions[Date],tblTransactions[[#This Row],[Date]])&gt;1),"Yes","No")</f>
        <v>No</v>
      </c>
    </row>
    <row r="218" spans="1:15" x14ac:dyDescent="0.3">
      <c r="A218" t="s">
        <v>644</v>
      </c>
      <c r="B218" s="2">
        <v>46263.772916666669</v>
      </c>
      <c r="C218" t="s">
        <v>19</v>
      </c>
      <c r="D218" t="s">
        <v>15</v>
      </c>
      <c r="E218" s="6">
        <v>26002.48</v>
      </c>
      <c r="F218" t="s">
        <v>11</v>
      </c>
      <c r="G218" t="s">
        <v>645</v>
      </c>
      <c r="H218" t="s">
        <v>646</v>
      </c>
      <c r="I218" s="116">
        <f>INT(tblTransactions[[#This Row],[TransactionDate]])</f>
        <v>46263</v>
      </c>
      <c r="J218" t="str">
        <f>IF(tblTransactions[[#This Row],[ApprovalID]]="", "R2 - Missing Approval Reference", "")</f>
        <v/>
      </c>
      <c r="K218" t="str">
        <f>IF(AND(tblTransactions[[#This Row],[ApprovalID]]&lt;&gt;"",COUNTIFS(tblApprovals[TransactionID],tblTransactions[[#This Row],[TransactionID]],tblApprovals[ApprovalID],tblTransactions[[#This Row],[ApprovalID]])=0),"R3 - Missing or Mismatched Approval Record", "")</f>
        <v/>
      </c>
      <c r="L21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8" t="str">
        <f>IF(AND(tblTransactions[[#This Row],[TransactionStatus]]="Success",COUNTIF(tblSettlement[TransactionID],tblTransactions[[#This Row],[TransactionID]])=0)," R5 - Successful Transaction Not Settled", "")</f>
        <v/>
      </c>
      <c r="N218" t="str">
        <f>IF(AND(COUNTIF(tblSettlement[TransactionID],tblTransactions[[#This Row],[TransactionID]])&gt;0,tblTransactions[[#This Row],[Amount]]&lt;&gt;SUMIF(tblSettlement[TransactionID],tblTransactions[[#This Row],[TransactionID]],tblSettlement[SettledAmount]))," R6 - Settlement Amount Mismatch", "")</f>
        <v/>
      </c>
      <c r="O218" t="str">
        <f>IF(AND(tblTransactions[[#This Row],[CustomerRef]] &lt;&gt;"",COUNTIFS(tblTransactions[CustomerRef],tblTransactions[[#This Row],[CustomerRef]],tblTransactions[Amount],tblTransactions[[#This Row],[Amount]],tblTransactions[Date],tblTransactions[[#This Row],[Date]])&gt;1),"Yes","No")</f>
        <v>No</v>
      </c>
    </row>
    <row r="219" spans="1:15" x14ac:dyDescent="0.3">
      <c r="A219" t="s">
        <v>647</v>
      </c>
      <c r="B219" s="2">
        <v>46259.706944444442</v>
      </c>
      <c r="C219" t="s">
        <v>19</v>
      </c>
      <c r="D219" t="s">
        <v>69</v>
      </c>
      <c r="E219" s="6">
        <v>65148.82</v>
      </c>
      <c r="F219" t="s">
        <v>11</v>
      </c>
      <c r="G219" t="s">
        <v>648</v>
      </c>
      <c r="H219" t="s">
        <v>649</v>
      </c>
      <c r="I219" s="116">
        <f>INT(tblTransactions[[#This Row],[TransactionDate]])</f>
        <v>46259</v>
      </c>
      <c r="J219" t="str">
        <f>IF(tblTransactions[[#This Row],[ApprovalID]]="", "R2 - Missing Approval Reference", "")</f>
        <v/>
      </c>
      <c r="K219" t="str">
        <f>IF(AND(tblTransactions[[#This Row],[ApprovalID]]&lt;&gt;"",COUNTIFS(tblApprovals[TransactionID],tblTransactions[[#This Row],[TransactionID]],tblApprovals[ApprovalID],tblTransactions[[#This Row],[ApprovalID]])=0),"R3 - Missing or Mismatched Approval Record", "")</f>
        <v/>
      </c>
      <c r="L21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19" t="str">
        <f>IF(AND(tblTransactions[[#This Row],[TransactionStatus]]="Success",COUNTIF(tblSettlement[TransactionID],tblTransactions[[#This Row],[TransactionID]])=0)," R5 - Successful Transaction Not Settled", "")</f>
        <v/>
      </c>
      <c r="N219" t="str">
        <f>IF(AND(COUNTIF(tblSettlement[TransactionID],tblTransactions[[#This Row],[TransactionID]])&gt;0,tblTransactions[[#This Row],[Amount]]&lt;&gt;SUMIF(tblSettlement[TransactionID],tblTransactions[[#This Row],[TransactionID]],tblSettlement[SettledAmount]))," R6 - Settlement Amount Mismatch", "")</f>
        <v/>
      </c>
      <c r="O219" t="str">
        <f>IF(AND(tblTransactions[[#This Row],[CustomerRef]] &lt;&gt;"",COUNTIFS(tblTransactions[CustomerRef],tblTransactions[[#This Row],[CustomerRef]],tblTransactions[Amount],tblTransactions[[#This Row],[Amount]],tblTransactions[Date],tblTransactions[[#This Row],[Date]])&gt;1),"Yes","No")</f>
        <v>No</v>
      </c>
    </row>
    <row r="220" spans="1:15" x14ac:dyDescent="0.3">
      <c r="A220" t="s">
        <v>650</v>
      </c>
      <c r="B220" s="2">
        <v>46245.947916666664</v>
      </c>
      <c r="C220" t="s">
        <v>19</v>
      </c>
      <c r="D220" t="s">
        <v>20</v>
      </c>
      <c r="E220" s="6">
        <v>17103.900000000001</v>
      </c>
      <c r="F220" t="s">
        <v>111</v>
      </c>
      <c r="G220" t="s">
        <v>651</v>
      </c>
      <c r="H220" t="s">
        <v>652</v>
      </c>
      <c r="I220" s="116">
        <f>INT(tblTransactions[[#This Row],[TransactionDate]])</f>
        <v>46245</v>
      </c>
      <c r="J220" t="str">
        <f>IF(tblTransactions[[#This Row],[ApprovalID]]="", "R2 - Missing Approval Reference", "")</f>
        <v/>
      </c>
      <c r="K220" t="str">
        <f>IF(AND(tblTransactions[[#This Row],[ApprovalID]]&lt;&gt;"",COUNTIFS(tblApprovals[TransactionID],tblTransactions[[#This Row],[TransactionID]],tblApprovals[ApprovalID],tblTransactions[[#This Row],[ApprovalID]])=0),"R3 - Missing or Mismatched Approval Record", "")</f>
        <v/>
      </c>
      <c r="L22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0" t="str">
        <f>IF(AND(tblTransactions[[#This Row],[TransactionStatus]]="Success",COUNTIF(tblSettlement[TransactionID],tblTransactions[[#This Row],[TransactionID]])=0)," R5 - Successful Transaction Not Settled", "")</f>
        <v/>
      </c>
      <c r="N220" t="str">
        <f>IF(AND(COUNTIF(tblSettlement[TransactionID],tblTransactions[[#This Row],[TransactionID]])&gt;0,tblTransactions[[#This Row],[Amount]]&lt;&gt;SUMIF(tblSettlement[TransactionID],tblTransactions[[#This Row],[TransactionID]],tblSettlement[SettledAmount]))," R6 - Settlement Amount Mismatch", "")</f>
        <v/>
      </c>
      <c r="O220" t="str">
        <f>IF(AND(tblTransactions[[#This Row],[CustomerRef]] &lt;&gt;"",COUNTIFS(tblTransactions[CustomerRef],tblTransactions[[#This Row],[CustomerRef]],tblTransactions[Amount],tblTransactions[[#This Row],[Amount]],tblTransactions[Date],tblTransactions[[#This Row],[Date]])&gt;1),"Yes","No")</f>
        <v>No</v>
      </c>
    </row>
    <row r="221" spans="1:15" x14ac:dyDescent="0.3">
      <c r="A221" t="s">
        <v>653</v>
      </c>
      <c r="B221" s="2">
        <v>46229.774305555555</v>
      </c>
      <c r="C221" t="s">
        <v>19</v>
      </c>
      <c r="D221" t="s">
        <v>15</v>
      </c>
      <c r="E221" s="6">
        <v>20765.21</v>
      </c>
      <c r="F221" t="s">
        <v>11</v>
      </c>
      <c r="G221" t="s">
        <v>654</v>
      </c>
      <c r="H221" t="s">
        <v>655</v>
      </c>
      <c r="I221" s="116">
        <f>INT(tblTransactions[[#This Row],[TransactionDate]])</f>
        <v>46229</v>
      </c>
      <c r="J221" t="str">
        <f>IF(tblTransactions[[#This Row],[ApprovalID]]="", "R2 - Missing Approval Reference", "")</f>
        <v/>
      </c>
      <c r="K221" t="str">
        <f>IF(AND(tblTransactions[[#This Row],[ApprovalID]]&lt;&gt;"",COUNTIFS(tblApprovals[TransactionID],tblTransactions[[#This Row],[TransactionID]],tblApprovals[ApprovalID],tblTransactions[[#This Row],[ApprovalID]])=0),"R3 - Missing or Mismatched Approval Record", "")</f>
        <v/>
      </c>
      <c r="L22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1" t="str">
        <f>IF(AND(tblTransactions[[#This Row],[TransactionStatus]]="Success",COUNTIF(tblSettlement[TransactionID],tblTransactions[[#This Row],[TransactionID]])=0)," R5 - Successful Transaction Not Settled", "")</f>
        <v/>
      </c>
      <c r="N221" t="str">
        <f>IF(AND(COUNTIF(tblSettlement[TransactionID],tblTransactions[[#This Row],[TransactionID]])&gt;0,tblTransactions[[#This Row],[Amount]]&lt;&gt;SUMIF(tblSettlement[TransactionID],tblTransactions[[#This Row],[TransactionID]],tblSettlement[SettledAmount]))," R6 - Settlement Amount Mismatch", "")</f>
        <v/>
      </c>
      <c r="O221" t="str">
        <f>IF(AND(tblTransactions[[#This Row],[CustomerRef]] &lt;&gt;"",COUNTIFS(tblTransactions[CustomerRef],tblTransactions[[#This Row],[CustomerRef]],tblTransactions[Amount],tblTransactions[[#This Row],[Amount]],tblTransactions[Date],tblTransactions[[#This Row],[Date]])&gt;1),"Yes","No")</f>
        <v>No</v>
      </c>
    </row>
    <row r="222" spans="1:15" x14ac:dyDescent="0.3">
      <c r="A222" t="s">
        <v>656</v>
      </c>
      <c r="B222" s="2">
        <v>46279.714583333334</v>
      </c>
      <c r="C222" t="s">
        <v>19</v>
      </c>
      <c r="D222" t="s">
        <v>20</v>
      </c>
      <c r="E222" s="6">
        <v>13047.25</v>
      </c>
      <c r="F222" t="s">
        <v>11</v>
      </c>
      <c r="G222" t="s">
        <v>657</v>
      </c>
      <c r="H222" t="s">
        <v>658</v>
      </c>
      <c r="I222" s="116">
        <f>INT(tblTransactions[[#This Row],[TransactionDate]])</f>
        <v>46279</v>
      </c>
      <c r="J222" t="str">
        <f>IF(tblTransactions[[#This Row],[ApprovalID]]="", "R2 - Missing Approval Reference", "")</f>
        <v/>
      </c>
      <c r="K222" t="str">
        <f>IF(AND(tblTransactions[[#This Row],[ApprovalID]]&lt;&gt;"",COUNTIFS(tblApprovals[TransactionID],tblTransactions[[#This Row],[TransactionID]],tblApprovals[ApprovalID],tblTransactions[[#This Row],[ApprovalID]])=0),"R3 - Missing or Mismatched Approval Record", "")</f>
        <v/>
      </c>
      <c r="L22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2" t="str">
        <f>IF(AND(tblTransactions[[#This Row],[TransactionStatus]]="Success",COUNTIF(tblSettlement[TransactionID],tblTransactions[[#This Row],[TransactionID]])=0)," R5 - Successful Transaction Not Settled", "")</f>
        <v/>
      </c>
      <c r="N222" t="str">
        <f>IF(AND(COUNTIF(tblSettlement[TransactionID],tblTransactions[[#This Row],[TransactionID]])&gt;0,tblTransactions[[#This Row],[Amount]]&lt;&gt;SUMIF(tblSettlement[TransactionID],tblTransactions[[#This Row],[TransactionID]],tblSettlement[SettledAmount]))," R6 - Settlement Amount Mismatch", "")</f>
        <v/>
      </c>
      <c r="O222" t="str">
        <f>IF(AND(tblTransactions[[#This Row],[CustomerRef]] &lt;&gt;"",COUNTIFS(tblTransactions[CustomerRef],tblTransactions[[#This Row],[CustomerRef]],tblTransactions[Amount],tblTransactions[[#This Row],[Amount]],tblTransactions[Date],tblTransactions[[#This Row],[Date]])&gt;1),"Yes","No")</f>
        <v>No</v>
      </c>
    </row>
    <row r="223" spans="1:15" x14ac:dyDescent="0.3">
      <c r="A223" t="s">
        <v>659</v>
      </c>
      <c r="B223" s="2">
        <v>46207.376388888886</v>
      </c>
      <c r="C223" t="s">
        <v>24</v>
      </c>
      <c r="D223" t="s">
        <v>69</v>
      </c>
      <c r="E223" s="6">
        <v>71153.88</v>
      </c>
      <c r="F223" t="s">
        <v>11</v>
      </c>
      <c r="G223" t="s">
        <v>660</v>
      </c>
      <c r="H223" t="s">
        <v>661</v>
      </c>
      <c r="I223" s="116">
        <f>INT(tblTransactions[[#This Row],[TransactionDate]])</f>
        <v>46207</v>
      </c>
      <c r="J223" t="str">
        <f>IF(tblTransactions[[#This Row],[ApprovalID]]="", "R2 - Missing Approval Reference", "")</f>
        <v/>
      </c>
      <c r="K223" t="str">
        <f>IF(AND(tblTransactions[[#This Row],[ApprovalID]]&lt;&gt;"",COUNTIFS(tblApprovals[TransactionID],tblTransactions[[#This Row],[TransactionID]],tblApprovals[ApprovalID],tblTransactions[[#This Row],[ApprovalID]])=0),"R3 - Missing or Mismatched Approval Record", "")</f>
        <v/>
      </c>
      <c r="L22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223" t="str">
        <f>IF(AND(tblTransactions[[#This Row],[TransactionStatus]]="Success",COUNTIF(tblSettlement[TransactionID],tblTransactions[[#This Row],[TransactionID]])=0)," R5 - Successful Transaction Not Settled", "")</f>
        <v/>
      </c>
      <c r="N223"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223" t="str">
        <f>IF(AND(tblTransactions[[#This Row],[CustomerRef]] &lt;&gt;"",COUNTIFS(tblTransactions[CustomerRef],tblTransactions[[#This Row],[CustomerRef]],tblTransactions[Amount],tblTransactions[[#This Row],[Amount]],tblTransactions[Date],tblTransactions[[#This Row],[Date]])&gt;1),"Yes","No")</f>
        <v>No</v>
      </c>
    </row>
    <row r="224" spans="1:15" x14ac:dyDescent="0.3">
      <c r="A224" t="s">
        <v>662</v>
      </c>
      <c r="B224" s="2">
        <v>46283.750694444447</v>
      </c>
      <c r="C224" t="s">
        <v>24</v>
      </c>
      <c r="D224" t="s">
        <v>20</v>
      </c>
      <c r="E224" s="6">
        <v>37478.339999999997</v>
      </c>
      <c r="F224" t="s">
        <v>11</v>
      </c>
      <c r="G224" t="s">
        <v>663</v>
      </c>
      <c r="H224" t="s">
        <v>664</v>
      </c>
      <c r="I224" s="116">
        <f>INT(tblTransactions[[#This Row],[TransactionDate]])</f>
        <v>46283</v>
      </c>
      <c r="J224" t="str">
        <f>IF(tblTransactions[[#This Row],[ApprovalID]]="", "R2 - Missing Approval Reference", "")</f>
        <v/>
      </c>
      <c r="K224" t="str">
        <f>IF(AND(tblTransactions[[#This Row],[ApprovalID]]&lt;&gt;"",COUNTIFS(tblApprovals[TransactionID],tblTransactions[[#This Row],[TransactionID]],tblApprovals[ApprovalID],tblTransactions[[#This Row],[ApprovalID]])=0),"R3 - Missing or Mismatched Approval Record", "")</f>
        <v/>
      </c>
      <c r="L22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4" t="str">
        <f>IF(AND(tblTransactions[[#This Row],[TransactionStatus]]="Success",COUNTIF(tblSettlement[TransactionID],tblTransactions[[#This Row],[TransactionID]])=0)," R5 - Successful Transaction Not Settled", "")</f>
        <v/>
      </c>
      <c r="N224" t="str">
        <f>IF(AND(COUNTIF(tblSettlement[TransactionID],tblTransactions[[#This Row],[TransactionID]])&gt;0,tblTransactions[[#This Row],[Amount]]&lt;&gt;SUMIF(tblSettlement[TransactionID],tblTransactions[[#This Row],[TransactionID]],tblSettlement[SettledAmount]))," R6 - Settlement Amount Mismatch", "")</f>
        <v/>
      </c>
      <c r="O224" t="str">
        <f>IF(AND(tblTransactions[[#This Row],[CustomerRef]] &lt;&gt;"",COUNTIFS(tblTransactions[CustomerRef],tblTransactions[[#This Row],[CustomerRef]],tblTransactions[Amount],tblTransactions[[#This Row],[Amount]],tblTransactions[Date],tblTransactions[[#This Row],[Date]])&gt;1),"Yes","No")</f>
        <v>No</v>
      </c>
    </row>
    <row r="225" spans="1:15" x14ac:dyDescent="0.3">
      <c r="A225" t="s">
        <v>665</v>
      </c>
      <c r="B225" s="2">
        <v>46242.62777777778</v>
      </c>
      <c r="C225" t="s">
        <v>43</v>
      </c>
      <c r="D225" t="s">
        <v>29</v>
      </c>
      <c r="E225" s="6">
        <v>51723.86</v>
      </c>
      <c r="F225" t="s">
        <v>11</v>
      </c>
      <c r="G225" t="s">
        <v>666</v>
      </c>
      <c r="H225" t="s">
        <v>667</v>
      </c>
      <c r="I225" s="116">
        <f>INT(tblTransactions[[#This Row],[TransactionDate]])</f>
        <v>46242</v>
      </c>
      <c r="J225" t="str">
        <f>IF(tblTransactions[[#This Row],[ApprovalID]]="", "R2 - Missing Approval Reference", "")</f>
        <v/>
      </c>
      <c r="K225" t="str">
        <f>IF(AND(tblTransactions[[#This Row],[ApprovalID]]&lt;&gt;"",COUNTIFS(tblApprovals[TransactionID],tblTransactions[[#This Row],[TransactionID]],tblApprovals[ApprovalID],tblTransactions[[#This Row],[ApprovalID]])=0),"R3 - Missing or Mismatched Approval Record", "")</f>
        <v/>
      </c>
      <c r="L22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5" t="str">
        <f>IF(AND(tblTransactions[[#This Row],[TransactionStatus]]="Success",COUNTIF(tblSettlement[TransactionID],tblTransactions[[#This Row],[TransactionID]])=0)," R5 - Successful Transaction Not Settled", "")</f>
        <v/>
      </c>
      <c r="N225" t="str">
        <f>IF(AND(COUNTIF(tblSettlement[TransactionID],tblTransactions[[#This Row],[TransactionID]])&gt;0,tblTransactions[[#This Row],[Amount]]&lt;&gt;SUMIF(tblSettlement[TransactionID],tblTransactions[[#This Row],[TransactionID]],tblSettlement[SettledAmount]))," R6 - Settlement Amount Mismatch", "")</f>
        <v/>
      </c>
      <c r="O225" t="str">
        <f>IF(AND(tblTransactions[[#This Row],[CustomerRef]] &lt;&gt;"",COUNTIFS(tblTransactions[CustomerRef],tblTransactions[[#This Row],[CustomerRef]],tblTransactions[Amount],tblTransactions[[#This Row],[Amount]],tblTransactions[Date],tblTransactions[[#This Row],[Date]])&gt;1),"Yes","No")</f>
        <v>No</v>
      </c>
    </row>
    <row r="226" spans="1:15" x14ac:dyDescent="0.3">
      <c r="A226" t="s">
        <v>668</v>
      </c>
      <c r="B226" s="2">
        <v>46281.430555555555</v>
      </c>
      <c r="C226" t="s">
        <v>24</v>
      </c>
      <c r="D226" t="s">
        <v>29</v>
      </c>
      <c r="E226" s="6">
        <v>64646.01</v>
      </c>
      <c r="F226" t="s">
        <v>11</v>
      </c>
      <c r="G226" t="s">
        <v>669</v>
      </c>
      <c r="H226" t="s">
        <v>670</v>
      </c>
      <c r="I226" s="116">
        <f>INT(tblTransactions[[#This Row],[TransactionDate]])</f>
        <v>46281</v>
      </c>
      <c r="J226" t="str">
        <f>IF(tblTransactions[[#This Row],[ApprovalID]]="", "R2 - Missing Approval Reference", "")</f>
        <v/>
      </c>
      <c r="K226" t="str">
        <f>IF(AND(tblTransactions[[#This Row],[ApprovalID]]&lt;&gt;"",COUNTIFS(tblApprovals[TransactionID],tblTransactions[[#This Row],[TransactionID]],tblApprovals[ApprovalID],tblTransactions[[#This Row],[ApprovalID]])=0),"R3 - Missing or Mismatched Approval Record", "")</f>
        <v/>
      </c>
      <c r="L22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6" t="str">
        <f>IF(AND(tblTransactions[[#This Row],[TransactionStatus]]="Success",COUNTIF(tblSettlement[TransactionID],tblTransactions[[#This Row],[TransactionID]])=0)," R5 - Successful Transaction Not Settled", "")</f>
        <v/>
      </c>
      <c r="N226" t="str">
        <f>IF(AND(COUNTIF(tblSettlement[TransactionID],tblTransactions[[#This Row],[TransactionID]])&gt;0,tblTransactions[[#This Row],[Amount]]&lt;&gt;SUMIF(tblSettlement[TransactionID],tblTransactions[[#This Row],[TransactionID]],tblSettlement[SettledAmount]))," R6 - Settlement Amount Mismatch", "")</f>
        <v/>
      </c>
      <c r="O226" t="str">
        <f>IF(AND(tblTransactions[[#This Row],[CustomerRef]] &lt;&gt;"",COUNTIFS(tblTransactions[CustomerRef],tblTransactions[[#This Row],[CustomerRef]],tblTransactions[Amount],tblTransactions[[#This Row],[Amount]],tblTransactions[Date],tblTransactions[[#This Row],[Date]])&gt;1),"Yes","No")</f>
        <v>No</v>
      </c>
    </row>
    <row r="227" spans="1:15" x14ac:dyDescent="0.3">
      <c r="A227" t="s">
        <v>671</v>
      </c>
      <c r="B227" s="2">
        <v>46269.67083333333</v>
      </c>
      <c r="C227" t="s">
        <v>24</v>
      </c>
      <c r="D227" t="s">
        <v>29</v>
      </c>
      <c r="E227" s="6">
        <v>24103.91</v>
      </c>
      <c r="F227" t="s">
        <v>11</v>
      </c>
      <c r="G227" t="s">
        <v>672</v>
      </c>
      <c r="H227" t="s">
        <v>673</v>
      </c>
      <c r="I227" s="116">
        <f>INT(tblTransactions[[#This Row],[TransactionDate]])</f>
        <v>46269</v>
      </c>
      <c r="J227" t="str">
        <f>IF(tblTransactions[[#This Row],[ApprovalID]]="", "R2 - Missing Approval Reference", "")</f>
        <v/>
      </c>
      <c r="K227" t="str">
        <f>IF(AND(tblTransactions[[#This Row],[ApprovalID]]&lt;&gt;"",COUNTIFS(tblApprovals[TransactionID],tblTransactions[[#This Row],[TransactionID]],tblApprovals[ApprovalID],tblTransactions[[#This Row],[ApprovalID]])=0),"R3 - Missing or Mismatched Approval Record", "")</f>
        <v/>
      </c>
      <c r="L22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7" t="str">
        <f>IF(AND(tblTransactions[[#This Row],[TransactionStatus]]="Success",COUNTIF(tblSettlement[TransactionID],tblTransactions[[#This Row],[TransactionID]])=0)," R5 - Successful Transaction Not Settled", "")</f>
        <v/>
      </c>
      <c r="N227" t="str">
        <f>IF(AND(COUNTIF(tblSettlement[TransactionID],tblTransactions[[#This Row],[TransactionID]])&gt;0,tblTransactions[[#This Row],[Amount]]&lt;&gt;SUMIF(tblSettlement[TransactionID],tblTransactions[[#This Row],[TransactionID]],tblSettlement[SettledAmount]))," R6 - Settlement Amount Mismatch", "")</f>
        <v/>
      </c>
      <c r="O227" t="str">
        <f>IF(AND(tblTransactions[[#This Row],[CustomerRef]] &lt;&gt;"",COUNTIFS(tblTransactions[CustomerRef],tblTransactions[[#This Row],[CustomerRef]],tblTransactions[Amount],tblTransactions[[#This Row],[Amount]],tblTransactions[Date],tblTransactions[[#This Row],[Date]])&gt;1),"Yes","No")</f>
        <v>No</v>
      </c>
    </row>
    <row r="228" spans="1:15" x14ac:dyDescent="0.3">
      <c r="A228" t="s">
        <v>674</v>
      </c>
      <c r="B228" s="2">
        <v>46210.51666666667</v>
      </c>
      <c r="C228" t="s">
        <v>9</v>
      </c>
      <c r="D228" t="s">
        <v>20</v>
      </c>
      <c r="E228" s="6">
        <v>64846.25</v>
      </c>
      <c r="F228" t="s">
        <v>11</v>
      </c>
      <c r="G228" t="s">
        <v>675</v>
      </c>
      <c r="H228" t="s">
        <v>676</v>
      </c>
      <c r="I228" s="116">
        <f>INT(tblTransactions[[#This Row],[TransactionDate]])</f>
        <v>46210</v>
      </c>
      <c r="J228" t="str">
        <f>IF(tblTransactions[[#This Row],[ApprovalID]]="", "R2 - Missing Approval Reference", "")</f>
        <v/>
      </c>
      <c r="K228" t="str">
        <f>IF(AND(tblTransactions[[#This Row],[ApprovalID]]&lt;&gt;"",COUNTIFS(tblApprovals[TransactionID],tblTransactions[[#This Row],[TransactionID]],tblApprovals[ApprovalID],tblTransactions[[#This Row],[ApprovalID]])=0),"R3 - Missing or Mismatched Approval Record", "")</f>
        <v/>
      </c>
      <c r="L22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8" t="str">
        <f>IF(AND(tblTransactions[[#This Row],[TransactionStatus]]="Success",COUNTIF(tblSettlement[TransactionID],tblTransactions[[#This Row],[TransactionID]])=0)," R5 - Successful Transaction Not Settled", "")</f>
        <v/>
      </c>
      <c r="N228" t="str">
        <f>IF(AND(COUNTIF(tblSettlement[TransactionID],tblTransactions[[#This Row],[TransactionID]])&gt;0,tblTransactions[[#This Row],[Amount]]&lt;&gt;SUMIF(tblSettlement[TransactionID],tblTransactions[[#This Row],[TransactionID]],tblSettlement[SettledAmount]))," R6 - Settlement Amount Mismatch", "")</f>
        <v/>
      </c>
      <c r="O228" t="str">
        <f>IF(AND(tblTransactions[[#This Row],[CustomerRef]] &lt;&gt;"",COUNTIFS(tblTransactions[CustomerRef],tblTransactions[[#This Row],[CustomerRef]],tblTransactions[Amount],tblTransactions[[#This Row],[Amount]],tblTransactions[Date],tblTransactions[[#This Row],[Date]])&gt;1),"Yes","No")</f>
        <v>No</v>
      </c>
    </row>
    <row r="229" spans="1:15" x14ac:dyDescent="0.3">
      <c r="A229" t="s">
        <v>677</v>
      </c>
      <c r="B229" s="2">
        <v>46228.840277777781</v>
      </c>
      <c r="C229" t="s">
        <v>43</v>
      </c>
      <c r="D229" t="s">
        <v>20</v>
      </c>
      <c r="E229" s="6">
        <v>37495.35</v>
      </c>
      <c r="F229" t="s">
        <v>11</v>
      </c>
      <c r="G229" t="s">
        <v>678</v>
      </c>
      <c r="H229" t="s">
        <v>679</v>
      </c>
      <c r="I229" s="116">
        <f>INT(tblTransactions[[#This Row],[TransactionDate]])</f>
        <v>46228</v>
      </c>
      <c r="J229" t="str">
        <f>IF(tblTransactions[[#This Row],[ApprovalID]]="", "R2 - Missing Approval Reference", "")</f>
        <v/>
      </c>
      <c r="K229" t="str">
        <f>IF(AND(tblTransactions[[#This Row],[ApprovalID]]&lt;&gt;"",COUNTIFS(tblApprovals[TransactionID],tblTransactions[[#This Row],[TransactionID]],tblApprovals[ApprovalID],tblTransactions[[#This Row],[ApprovalID]])=0),"R3 - Missing or Mismatched Approval Record", "")</f>
        <v/>
      </c>
      <c r="L22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29" t="str">
        <f>IF(AND(tblTransactions[[#This Row],[TransactionStatus]]="Success",COUNTIF(tblSettlement[TransactionID],tblTransactions[[#This Row],[TransactionID]])=0)," R5 - Successful Transaction Not Settled", "")</f>
        <v/>
      </c>
      <c r="N229" t="str">
        <f>IF(AND(COUNTIF(tblSettlement[TransactionID],tblTransactions[[#This Row],[TransactionID]])&gt;0,tblTransactions[[#This Row],[Amount]]&lt;&gt;SUMIF(tblSettlement[TransactionID],tblTransactions[[#This Row],[TransactionID]],tblSettlement[SettledAmount]))," R6 - Settlement Amount Mismatch", "")</f>
        <v/>
      </c>
      <c r="O229" t="str">
        <f>IF(AND(tblTransactions[[#This Row],[CustomerRef]] &lt;&gt;"",COUNTIFS(tblTransactions[CustomerRef],tblTransactions[[#This Row],[CustomerRef]],tblTransactions[Amount],tblTransactions[[#This Row],[Amount]],tblTransactions[Date],tblTransactions[[#This Row],[Date]])&gt;1),"Yes","No")</f>
        <v>No</v>
      </c>
    </row>
    <row r="230" spans="1:15" x14ac:dyDescent="0.3">
      <c r="A230" t="s">
        <v>680</v>
      </c>
      <c r="B230" s="2">
        <v>46254.686805555553</v>
      </c>
      <c r="C230" t="s">
        <v>24</v>
      </c>
      <c r="D230" t="s">
        <v>10</v>
      </c>
      <c r="E230" s="6">
        <v>72509.83</v>
      </c>
      <c r="F230" t="s">
        <v>11</v>
      </c>
      <c r="H230" t="s">
        <v>681</v>
      </c>
      <c r="I230" s="116">
        <f>INT(tblTransactions[[#This Row],[TransactionDate]])</f>
        <v>46254</v>
      </c>
      <c r="J230" t="str">
        <f>IF(tblTransactions[[#This Row],[ApprovalID]]="", "R2 - Missing Approval Reference", "")</f>
        <v>R2 - Missing Approval Reference</v>
      </c>
      <c r="K230" t="str">
        <f>IF(AND(tblTransactions[[#This Row],[ApprovalID]]&lt;&gt;"",COUNTIFS(tblApprovals[TransactionID],tblTransactions[[#This Row],[TransactionID]],tblApprovals[ApprovalID],tblTransactions[[#This Row],[ApprovalID]])=0),"R3 - Missing or Mismatched Approval Record", "")</f>
        <v/>
      </c>
      <c r="L23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0" t="str">
        <f>IF(AND(tblTransactions[[#This Row],[TransactionStatus]]="Success",COUNTIF(tblSettlement[TransactionID],tblTransactions[[#This Row],[TransactionID]])=0)," R5 - Successful Transaction Not Settled", "")</f>
        <v/>
      </c>
      <c r="N230" t="str">
        <f>IF(AND(COUNTIF(tblSettlement[TransactionID],tblTransactions[[#This Row],[TransactionID]])&gt;0,tblTransactions[[#This Row],[Amount]]&lt;&gt;SUMIF(tblSettlement[TransactionID],tblTransactions[[#This Row],[TransactionID]],tblSettlement[SettledAmount]))," R6 - Settlement Amount Mismatch", "")</f>
        <v/>
      </c>
      <c r="O230" t="str">
        <f>IF(AND(tblTransactions[[#This Row],[CustomerRef]] &lt;&gt;"",COUNTIFS(tblTransactions[CustomerRef],tblTransactions[[#This Row],[CustomerRef]],tblTransactions[Amount],tblTransactions[[#This Row],[Amount]],tblTransactions[Date],tblTransactions[[#This Row],[Date]])&gt;1),"Yes","No")</f>
        <v>No</v>
      </c>
    </row>
    <row r="231" spans="1:15" x14ac:dyDescent="0.3">
      <c r="A231" t="s">
        <v>682</v>
      </c>
      <c r="B231" s="2">
        <v>46280.953472222223</v>
      </c>
      <c r="C231" t="s">
        <v>19</v>
      </c>
      <c r="D231" t="s">
        <v>10</v>
      </c>
      <c r="E231" s="6">
        <v>49155.94</v>
      </c>
      <c r="F231" t="s">
        <v>11</v>
      </c>
      <c r="G231" t="s">
        <v>683</v>
      </c>
      <c r="H231" t="s">
        <v>684</v>
      </c>
      <c r="I231" s="116">
        <f>INT(tblTransactions[[#This Row],[TransactionDate]])</f>
        <v>46280</v>
      </c>
      <c r="J231" t="str">
        <f>IF(tblTransactions[[#This Row],[ApprovalID]]="", "R2 - Missing Approval Reference", "")</f>
        <v/>
      </c>
      <c r="K231" t="str">
        <f>IF(AND(tblTransactions[[#This Row],[ApprovalID]]&lt;&gt;"",COUNTIFS(tblApprovals[TransactionID],tblTransactions[[#This Row],[TransactionID]],tblApprovals[ApprovalID],tblTransactions[[#This Row],[ApprovalID]])=0),"R3 - Missing or Mismatched Approval Record", "")</f>
        <v/>
      </c>
      <c r="L23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1" t="str">
        <f>IF(AND(tblTransactions[[#This Row],[TransactionStatus]]="Success",COUNTIF(tblSettlement[TransactionID],tblTransactions[[#This Row],[TransactionID]])=0)," R5 - Successful Transaction Not Settled", "")</f>
        <v/>
      </c>
      <c r="N231" t="str">
        <f>IF(AND(COUNTIF(tblSettlement[TransactionID],tblTransactions[[#This Row],[TransactionID]])&gt;0,tblTransactions[[#This Row],[Amount]]&lt;&gt;SUMIF(tblSettlement[TransactionID],tblTransactions[[#This Row],[TransactionID]],tblSettlement[SettledAmount]))," R6 - Settlement Amount Mismatch", "")</f>
        <v/>
      </c>
      <c r="O231" t="str">
        <f>IF(AND(tblTransactions[[#This Row],[CustomerRef]] &lt;&gt;"",COUNTIFS(tblTransactions[CustomerRef],tblTransactions[[#This Row],[CustomerRef]],tblTransactions[Amount],tblTransactions[[#This Row],[Amount]],tblTransactions[Date],tblTransactions[[#This Row],[Date]])&gt;1),"Yes","No")</f>
        <v>No</v>
      </c>
    </row>
    <row r="232" spans="1:15" x14ac:dyDescent="0.3">
      <c r="A232" t="s">
        <v>685</v>
      </c>
      <c r="B232" s="2">
        <v>46221.927777777775</v>
      </c>
      <c r="C232" t="s">
        <v>24</v>
      </c>
      <c r="D232" t="s">
        <v>10</v>
      </c>
      <c r="E232" s="6">
        <v>54631.23</v>
      </c>
      <c r="F232" t="s">
        <v>11</v>
      </c>
      <c r="G232" t="s">
        <v>686</v>
      </c>
      <c r="H232" t="s">
        <v>687</v>
      </c>
      <c r="I232" s="116">
        <f>INT(tblTransactions[[#This Row],[TransactionDate]])</f>
        <v>46221</v>
      </c>
      <c r="J232" t="str">
        <f>IF(tblTransactions[[#This Row],[ApprovalID]]="", "R2 - Missing Approval Reference", "")</f>
        <v/>
      </c>
      <c r="K232" t="str">
        <f>IF(AND(tblTransactions[[#This Row],[ApprovalID]]&lt;&gt;"",COUNTIFS(tblApprovals[TransactionID],tblTransactions[[#This Row],[TransactionID]],tblApprovals[ApprovalID],tblTransactions[[#This Row],[ApprovalID]])=0),"R3 - Missing or Mismatched Approval Record", "")</f>
        <v/>
      </c>
      <c r="L23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2" t="str">
        <f>IF(AND(tblTransactions[[#This Row],[TransactionStatus]]="Success",COUNTIF(tblSettlement[TransactionID],tblTransactions[[#This Row],[TransactionID]])=0)," R5 - Successful Transaction Not Settled", "")</f>
        <v/>
      </c>
      <c r="N232" t="str">
        <f>IF(AND(COUNTIF(tblSettlement[TransactionID],tblTransactions[[#This Row],[TransactionID]])&gt;0,tblTransactions[[#This Row],[Amount]]&lt;&gt;SUMIF(tblSettlement[TransactionID],tblTransactions[[#This Row],[TransactionID]],tblSettlement[SettledAmount]))," R6 - Settlement Amount Mismatch", "")</f>
        <v/>
      </c>
      <c r="O232" t="str">
        <f>IF(AND(tblTransactions[[#This Row],[CustomerRef]] &lt;&gt;"",COUNTIFS(tblTransactions[CustomerRef],tblTransactions[[#This Row],[CustomerRef]],tblTransactions[Amount],tblTransactions[[#This Row],[Amount]],tblTransactions[Date],tblTransactions[[#This Row],[Date]])&gt;1),"Yes","No")</f>
        <v>No</v>
      </c>
    </row>
    <row r="233" spans="1:15" x14ac:dyDescent="0.3">
      <c r="A233" t="s">
        <v>688</v>
      </c>
      <c r="B233" s="2">
        <v>46250.679166666669</v>
      </c>
      <c r="C233" t="s">
        <v>19</v>
      </c>
      <c r="D233" t="s">
        <v>20</v>
      </c>
      <c r="E233" s="6">
        <v>5746.5</v>
      </c>
      <c r="F233" t="s">
        <v>11</v>
      </c>
      <c r="G233" t="s">
        <v>689</v>
      </c>
      <c r="H233" t="s">
        <v>690</v>
      </c>
      <c r="I233" s="116">
        <f>INT(tblTransactions[[#This Row],[TransactionDate]])</f>
        <v>46250</v>
      </c>
      <c r="J233" t="str">
        <f>IF(tblTransactions[[#This Row],[ApprovalID]]="", "R2 - Missing Approval Reference", "")</f>
        <v/>
      </c>
      <c r="K233" t="str">
        <f>IF(AND(tblTransactions[[#This Row],[ApprovalID]]&lt;&gt;"",COUNTIFS(tblApprovals[TransactionID],tblTransactions[[#This Row],[TransactionID]],tblApprovals[ApprovalID],tblTransactions[[#This Row],[ApprovalID]])=0),"R3 - Missing or Mismatched Approval Record", "")</f>
        <v/>
      </c>
      <c r="L23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3" t="str">
        <f>IF(AND(tblTransactions[[#This Row],[TransactionStatus]]="Success",COUNTIF(tblSettlement[TransactionID],tblTransactions[[#This Row],[TransactionID]])=0)," R5 - Successful Transaction Not Settled", "")</f>
        <v/>
      </c>
      <c r="N233" t="str">
        <f>IF(AND(COUNTIF(tblSettlement[TransactionID],tblTransactions[[#This Row],[TransactionID]])&gt;0,tblTransactions[[#This Row],[Amount]]&lt;&gt;SUMIF(tblSettlement[TransactionID],tblTransactions[[#This Row],[TransactionID]],tblSettlement[SettledAmount]))," R6 - Settlement Amount Mismatch", "")</f>
        <v/>
      </c>
      <c r="O233" t="str">
        <f>IF(AND(tblTransactions[[#This Row],[CustomerRef]] &lt;&gt;"",COUNTIFS(tblTransactions[CustomerRef],tblTransactions[[#This Row],[CustomerRef]],tblTransactions[Amount],tblTransactions[[#This Row],[Amount]],tblTransactions[Date],tblTransactions[[#This Row],[Date]])&gt;1),"Yes","No")</f>
        <v>No</v>
      </c>
    </row>
    <row r="234" spans="1:15" x14ac:dyDescent="0.3">
      <c r="A234" t="s">
        <v>691</v>
      </c>
      <c r="B234" s="2">
        <v>46220.392361111109</v>
      </c>
      <c r="C234" t="s">
        <v>19</v>
      </c>
      <c r="D234" t="s">
        <v>20</v>
      </c>
      <c r="E234" s="6">
        <v>28146.58</v>
      </c>
      <c r="F234" t="s">
        <v>36</v>
      </c>
      <c r="G234" t="s">
        <v>692</v>
      </c>
      <c r="H234" t="s">
        <v>693</v>
      </c>
      <c r="I234" s="116">
        <f>INT(tblTransactions[[#This Row],[TransactionDate]])</f>
        <v>46220</v>
      </c>
      <c r="J234" t="str">
        <f>IF(tblTransactions[[#This Row],[ApprovalID]]="", "R2 - Missing Approval Reference", "")</f>
        <v/>
      </c>
      <c r="K234" t="str">
        <f>IF(AND(tblTransactions[[#This Row],[ApprovalID]]&lt;&gt;"",COUNTIFS(tblApprovals[TransactionID],tblTransactions[[#This Row],[TransactionID]],tblApprovals[ApprovalID],tblTransactions[[#This Row],[ApprovalID]])=0),"R3 - Missing or Mismatched Approval Record", "")</f>
        <v/>
      </c>
      <c r="L23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4" t="str">
        <f>IF(AND(tblTransactions[[#This Row],[TransactionStatus]]="Success",COUNTIF(tblSettlement[TransactionID],tblTransactions[[#This Row],[TransactionID]])=0)," R5 - Successful Transaction Not Settled", "")</f>
        <v/>
      </c>
      <c r="N234" t="str">
        <f>IF(AND(COUNTIF(tblSettlement[TransactionID],tblTransactions[[#This Row],[TransactionID]])&gt;0,tblTransactions[[#This Row],[Amount]]&lt;&gt;SUMIF(tblSettlement[TransactionID],tblTransactions[[#This Row],[TransactionID]],tblSettlement[SettledAmount]))," R6 - Settlement Amount Mismatch", "")</f>
        <v/>
      </c>
      <c r="O234" t="str">
        <f>IF(AND(tblTransactions[[#This Row],[CustomerRef]] &lt;&gt;"",COUNTIFS(tblTransactions[CustomerRef],tblTransactions[[#This Row],[CustomerRef]],tblTransactions[Amount],tblTransactions[[#This Row],[Amount]],tblTransactions[Date],tblTransactions[[#This Row],[Date]])&gt;1),"Yes","No")</f>
        <v>No</v>
      </c>
    </row>
    <row r="235" spans="1:15" x14ac:dyDescent="0.3">
      <c r="A235" t="s">
        <v>694</v>
      </c>
      <c r="B235" s="2">
        <v>46281.684027777781</v>
      </c>
      <c r="C235" t="s">
        <v>9</v>
      </c>
      <c r="D235" t="s">
        <v>20</v>
      </c>
      <c r="E235" s="6">
        <v>37630.82</v>
      </c>
      <c r="F235" t="s">
        <v>11</v>
      </c>
      <c r="G235" t="s">
        <v>695</v>
      </c>
      <c r="H235" t="s">
        <v>696</v>
      </c>
      <c r="I235" s="116">
        <f>INT(tblTransactions[[#This Row],[TransactionDate]])</f>
        <v>46281</v>
      </c>
      <c r="J235" t="str">
        <f>IF(tblTransactions[[#This Row],[ApprovalID]]="", "R2 - Missing Approval Reference", "")</f>
        <v/>
      </c>
      <c r="K235" t="str">
        <f>IF(AND(tblTransactions[[#This Row],[ApprovalID]]&lt;&gt;"",COUNTIFS(tblApprovals[TransactionID],tblTransactions[[#This Row],[TransactionID]],tblApprovals[ApprovalID],tblTransactions[[#This Row],[ApprovalID]])=0),"R3 - Missing or Mismatched Approval Record", "")</f>
        <v/>
      </c>
      <c r="L23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5" t="str">
        <f>IF(AND(tblTransactions[[#This Row],[TransactionStatus]]="Success",COUNTIF(tblSettlement[TransactionID],tblTransactions[[#This Row],[TransactionID]])=0)," R5 - Successful Transaction Not Settled", "")</f>
        <v/>
      </c>
      <c r="N235" t="str">
        <f>IF(AND(COUNTIF(tblSettlement[TransactionID],tblTransactions[[#This Row],[TransactionID]])&gt;0,tblTransactions[[#This Row],[Amount]]&lt;&gt;SUMIF(tblSettlement[TransactionID],tblTransactions[[#This Row],[TransactionID]],tblSettlement[SettledAmount]))," R6 - Settlement Amount Mismatch", "")</f>
        <v/>
      </c>
      <c r="O235" t="str">
        <f>IF(AND(tblTransactions[[#This Row],[CustomerRef]] &lt;&gt;"",COUNTIFS(tblTransactions[CustomerRef],tblTransactions[[#This Row],[CustomerRef]],tblTransactions[Amount],tblTransactions[[#This Row],[Amount]],tblTransactions[Date],tblTransactions[[#This Row],[Date]])&gt;1),"Yes","No")</f>
        <v>No</v>
      </c>
    </row>
    <row r="236" spans="1:15" x14ac:dyDescent="0.3">
      <c r="A236" t="s">
        <v>697</v>
      </c>
      <c r="B236" s="2">
        <v>46262.443055555559</v>
      </c>
      <c r="C236" t="s">
        <v>19</v>
      </c>
      <c r="D236" t="s">
        <v>20</v>
      </c>
      <c r="E236" s="6">
        <v>67011.59</v>
      </c>
      <c r="F236" t="s">
        <v>11</v>
      </c>
      <c r="G236" t="s">
        <v>698</v>
      </c>
      <c r="H236" t="s">
        <v>699</v>
      </c>
      <c r="I236" s="116">
        <f>INT(tblTransactions[[#This Row],[TransactionDate]])</f>
        <v>46262</v>
      </c>
      <c r="J236" t="str">
        <f>IF(tblTransactions[[#This Row],[ApprovalID]]="", "R2 - Missing Approval Reference", "")</f>
        <v/>
      </c>
      <c r="K236" t="str">
        <f>IF(AND(tblTransactions[[#This Row],[ApprovalID]]&lt;&gt;"",COUNTIFS(tblApprovals[TransactionID],tblTransactions[[#This Row],[TransactionID]],tblApprovals[ApprovalID],tblTransactions[[#This Row],[ApprovalID]])=0),"R3 - Missing or Mismatched Approval Record", "")</f>
        <v/>
      </c>
      <c r="L23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6" t="str">
        <f>IF(AND(tblTransactions[[#This Row],[TransactionStatus]]="Success",COUNTIF(tblSettlement[TransactionID],tblTransactions[[#This Row],[TransactionID]])=0)," R5 - Successful Transaction Not Settled", "")</f>
        <v/>
      </c>
      <c r="N236" t="str">
        <f>IF(AND(COUNTIF(tblSettlement[TransactionID],tblTransactions[[#This Row],[TransactionID]])&gt;0,tblTransactions[[#This Row],[Amount]]&lt;&gt;SUMIF(tblSettlement[TransactionID],tblTransactions[[#This Row],[TransactionID]],tblSettlement[SettledAmount]))," R6 - Settlement Amount Mismatch", "")</f>
        <v/>
      </c>
      <c r="O236" t="str">
        <f>IF(AND(tblTransactions[[#This Row],[CustomerRef]] &lt;&gt;"",COUNTIFS(tblTransactions[CustomerRef],tblTransactions[[#This Row],[CustomerRef]],tblTransactions[Amount],tblTransactions[[#This Row],[Amount]],tblTransactions[Date],tblTransactions[[#This Row],[Date]])&gt;1),"Yes","No")</f>
        <v>No</v>
      </c>
    </row>
    <row r="237" spans="1:15" x14ac:dyDescent="0.3">
      <c r="A237" t="s">
        <v>700</v>
      </c>
      <c r="B237" s="2">
        <v>46279.563888888886</v>
      </c>
      <c r="C237" t="s">
        <v>28</v>
      </c>
      <c r="D237" t="s">
        <v>15</v>
      </c>
      <c r="E237" s="6">
        <v>62164.63</v>
      </c>
      <c r="F237" t="s">
        <v>11</v>
      </c>
      <c r="G237" t="s">
        <v>701</v>
      </c>
      <c r="H237" t="s">
        <v>702</v>
      </c>
      <c r="I237" s="116">
        <f>INT(tblTransactions[[#This Row],[TransactionDate]])</f>
        <v>46279</v>
      </c>
      <c r="J237" t="str">
        <f>IF(tblTransactions[[#This Row],[ApprovalID]]="", "R2 - Missing Approval Reference", "")</f>
        <v/>
      </c>
      <c r="K237" t="str">
        <f>IF(AND(tblTransactions[[#This Row],[ApprovalID]]&lt;&gt;"",COUNTIFS(tblApprovals[TransactionID],tblTransactions[[#This Row],[TransactionID]],tblApprovals[ApprovalID],tblTransactions[[#This Row],[ApprovalID]])=0),"R3 - Missing or Mismatched Approval Record", "")</f>
        <v/>
      </c>
      <c r="L23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7" t="str">
        <f>IF(AND(tblTransactions[[#This Row],[TransactionStatus]]="Success",COUNTIF(tblSettlement[TransactionID],tblTransactions[[#This Row],[TransactionID]])=0)," R5 - Successful Transaction Not Settled", "")</f>
        <v/>
      </c>
      <c r="N237" t="str">
        <f>IF(AND(COUNTIF(tblSettlement[TransactionID],tblTransactions[[#This Row],[TransactionID]])&gt;0,tblTransactions[[#This Row],[Amount]]&lt;&gt;SUMIF(tblSettlement[TransactionID],tblTransactions[[#This Row],[TransactionID]],tblSettlement[SettledAmount]))," R6 - Settlement Amount Mismatch", "")</f>
        <v/>
      </c>
      <c r="O237" t="str">
        <f>IF(AND(tblTransactions[[#This Row],[CustomerRef]] &lt;&gt;"",COUNTIFS(tblTransactions[CustomerRef],tblTransactions[[#This Row],[CustomerRef]],tblTransactions[Amount],tblTransactions[[#This Row],[Amount]],tblTransactions[Date],tblTransactions[[#This Row],[Date]])&gt;1),"Yes","No")</f>
        <v>No</v>
      </c>
    </row>
    <row r="238" spans="1:15" x14ac:dyDescent="0.3">
      <c r="A238" t="s">
        <v>703</v>
      </c>
      <c r="B238" s="2">
        <v>46251.571527777778</v>
      </c>
      <c r="C238" t="s">
        <v>24</v>
      </c>
      <c r="D238" t="s">
        <v>10</v>
      </c>
      <c r="E238" s="6">
        <v>8442.94</v>
      </c>
      <c r="F238" t="s">
        <v>11</v>
      </c>
      <c r="G238" t="s">
        <v>704</v>
      </c>
      <c r="H238" t="s">
        <v>705</v>
      </c>
      <c r="I238" s="116">
        <f>INT(tblTransactions[[#This Row],[TransactionDate]])</f>
        <v>46251</v>
      </c>
      <c r="J238" t="str">
        <f>IF(tblTransactions[[#This Row],[ApprovalID]]="", "R2 - Missing Approval Reference", "")</f>
        <v/>
      </c>
      <c r="K238" t="str">
        <f>IF(AND(tblTransactions[[#This Row],[ApprovalID]]&lt;&gt;"",COUNTIFS(tblApprovals[TransactionID],tblTransactions[[#This Row],[TransactionID]],tblApprovals[ApprovalID],tblTransactions[[#This Row],[ApprovalID]])=0),"R3 - Missing or Mismatched Approval Record", "")</f>
        <v/>
      </c>
      <c r="L23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8" t="str">
        <f>IF(AND(tblTransactions[[#This Row],[TransactionStatus]]="Success",COUNTIF(tblSettlement[TransactionID],tblTransactions[[#This Row],[TransactionID]])=0)," R5 - Successful Transaction Not Settled", "")</f>
        <v/>
      </c>
      <c r="N238" t="str">
        <f>IF(AND(COUNTIF(tblSettlement[TransactionID],tblTransactions[[#This Row],[TransactionID]])&gt;0,tblTransactions[[#This Row],[Amount]]&lt;&gt;SUMIF(tblSettlement[TransactionID],tblTransactions[[#This Row],[TransactionID]],tblSettlement[SettledAmount]))," R6 - Settlement Amount Mismatch", "")</f>
        <v/>
      </c>
      <c r="O238" t="str">
        <f>IF(AND(tblTransactions[[#This Row],[CustomerRef]] &lt;&gt;"",COUNTIFS(tblTransactions[CustomerRef],tblTransactions[[#This Row],[CustomerRef]],tblTransactions[Amount],tblTransactions[[#This Row],[Amount]],tblTransactions[Date],tblTransactions[[#This Row],[Date]])&gt;1),"Yes","No")</f>
        <v>No</v>
      </c>
    </row>
    <row r="239" spans="1:15" x14ac:dyDescent="0.3">
      <c r="A239" t="s">
        <v>706</v>
      </c>
      <c r="B239" s="2">
        <v>46287.867361111108</v>
      </c>
      <c r="C239" t="s">
        <v>47</v>
      </c>
      <c r="D239" t="s">
        <v>15</v>
      </c>
      <c r="E239" s="6">
        <v>43490.96</v>
      </c>
      <c r="F239" t="s">
        <v>11</v>
      </c>
      <c r="G239" t="s">
        <v>707</v>
      </c>
      <c r="H239" t="s">
        <v>708</v>
      </c>
      <c r="I239" s="116">
        <f>INT(tblTransactions[[#This Row],[TransactionDate]])</f>
        <v>46287</v>
      </c>
      <c r="J239" t="str">
        <f>IF(tblTransactions[[#This Row],[ApprovalID]]="", "R2 - Missing Approval Reference", "")</f>
        <v/>
      </c>
      <c r="K239" t="str">
        <f>IF(AND(tblTransactions[[#This Row],[ApprovalID]]&lt;&gt;"",COUNTIFS(tblApprovals[TransactionID],tblTransactions[[#This Row],[TransactionID]],tblApprovals[ApprovalID],tblTransactions[[#This Row],[ApprovalID]])=0),"R3 - Missing or Mismatched Approval Record", "")</f>
        <v/>
      </c>
      <c r="L23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39" t="str">
        <f>IF(AND(tblTransactions[[#This Row],[TransactionStatus]]="Success",COUNTIF(tblSettlement[TransactionID],tblTransactions[[#This Row],[TransactionID]])=0)," R5 - Successful Transaction Not Settled", "")</f>
        <v/>
      </c>
      <c r="N239" t="str">
        <f>IF(AND(COUNTIF(tblSettlement[TransactionID],tblTransactions[[#This Row],[TransactionID]])&gt;0,tblTransactions[[#This Row],[Amount]]&lt;&gt;SUMIF(tblSettlement[TransactionID],tblTransactions[[#This Row],[TransactionID]],tblSettlement[SettledAmount]))," R6 - Settlement Amount Mismatch", "")</f>
        <v/>
      </c>
      <c r="O239" t="str">
        <f>IF(AND(tblTransactions[[#This Row],[CustomerRef]] &lt;&gt;"",COUNTIFS(tblTransactions[CustomerRef],tblTransactions[[#This Row],[CustomerRef]],tblTransactions[Amount],tblTransactions[[#This Row],[Amount]],tblTransactions[Date],tblTransactions[[#This Row],[Date]])&gt;1),"Yes","No")</f>
        <v>No</v>
      </c>
    </row>
    <row r="240" spans="1:15" x14ac:dyDescent="0.3">
      <c r="A240" t="s">
        <v>709</v>
      </c>
      <c r="B240" s="2">
        <v>46284.818749999999</v>
      </c>
      <c r="C240" t="s">
        <v>28</v>
      </c>
      <c r="D240" t="s">
        <v>69</v>
      </c>
      <c r="E240" s="6">
        <v>58151.81</v>
      </c>
      <c r="F240" t="s">
        <v>11</v>
      </c>
      <c r="H240" t="s">
        <v>710</v>
      </c>
      <c r="I240" s="116">
        <f>INT(tblTransactions[[#This Row],[TransactionDate]])</f>
        <v>46284</v>
      </c>
      <c r="J240" t="str">
        <f>IF(tblTransactions[[#This Row],[ApprovalID]]="", "R2 - Missing Approval Reference", "")</f>
        <v>R2 - Missing Approval Reference</v>
      </c>
      <c r="K240" t="str">
        <f>IF(AND(tblTransactions[[#This Row],[ApprovalID]]&lt;&gt;"",COUNTIFS(tblApprovals[TransactionID],tblTransactions[[#This Row],[TransactionID]],tblApprovals[ApprovalID],tblTransactions[[#This Row],[ApprovalID]])=0),"R3 - Missing or Mismatched Approval Record", "")</f>
        <v/>
      </c>
      <c r="L24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0" t="str">
        <f>IF(AND(tblTransactions[[#This Row],[TransactionStatus]]="Success",COUNTIF(tblSettlement[TransactionID],tblTransactions[[#This Row],[TransactionID]])=0)," R5 - Successful Transaction Not Settled", "")</f>
        <v/>
      </c>
      <c r="N240" t="str">
        <f>IF(AND(COUNTIF(tblSettlement[TransactionID],tblTransactions[[#This Row],[TransactionID]])&gt;0,tblTransactions[[#This Row],[Amount]]&lt;&gt;SUMIF(tblSettlement[TransactionID],tblTransactions[[#This Row],[TransactionID]],tblSettlement[SettledAmount]))," R6 - Settlement Amount Mismatch", "")</f>
        <v/>
      </c>
      <c r="O240" t="str">
        <f>IF(AND(tblTransactions[[#This Row],[CustomerRef]] &lt;&gt;"",COUNTIFS(tblTransactions[CustomerRef],tblTransactions[[#This Row],[CustomerRef]],tblTransactions[Amount],tblTransactions[[#This Row],[Amount]],tblTransactions[Date],tblTransactions[[#This Row],[Date]])&gt;1),"Yes","No")</f>
        <v>No</v>
      </c>
    </row>
    <row r="241" spans="1:15" x14ac:dyDescent="0.3">
      <c r="A241" t="s">
        <v>711</v>
      </c>
      <c r="B241" s="2">
        <v>46228.352777777778</v>
      </c>
      <c r="C241" t="s">
        <v>28</v>
      </c>
      <c r="D241" t="s">
        <v>69</v>
      </c>
      <c r="E241" s="6">
        <v>23698.51</v>
      </c>
      <c r="F241" t="s">
        <v>11</v>
      </c>
      <c r="G241" t="s">
        <v>712</v>
      </c>
      <c r="H241" t="s">
        <v>713</v>
      </c>
      <c r="I241" s="116">
        <f>INT(tblTransactions[[#This Row],[TransactionDate]])</f>
        <v>46228</v>
      </c>
      <c r="J241" t="str">
        <f>IF(tblTransactions[[#This Row],[ApprovalID]]="", "R2 - Missing Approval Reference", "")</f>
        <v/>
      </c>
      <c r="K241" t="str">
        <f>IF(AND(tblTransactions[[#This Row],[ApprovalID]]&lt;&gt;"",COUNTIFS(tblApprovals[TransactionID],tblTransactions[[#This Row],[TransactionID]],tblApprovals[ApprovalID],tblTransactions[[#This Row],[ApprovalID]])=0),"R3 - Missing or Mismatched Approval Record", "")</f>
        <v/>
      </c>
      <c r="L24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1" t="str">
        <f>IF(AND(tblTransactions[[#This Row],[TransactionStatus]]="Success",COUNTIF(tblSettlement[TransactionID],tblTransactions[[#This Row],[TransactionID]])=0)," R5 - Successful Transaction Not Settled", "")</f>
        <v/>
      </c>
      <c r="N241" t="str">
        <f>IF(AND(COUNTIF(tblSettlement[TransactionID],tblTransactions[[#This Row],[TransactionID]])&gt;0,tblTransactions[[#This Row],[Amount]]&lt;&gt;SUMIF(tblSettlement[TransactionID],tblTransactions[[#This Row],[TransactionID]],tblSettlement[SettledAmount]))," R6 - Settlement Amount Mismatch", "")</f>
        <v/>
      </c>
      <c r="O241" t="str">
        <f>IF(AND(tblTransactions[[#This Row],[CustomerRef]] &lt;&gt;"",COUNTIFS(tblTransactions[CustomerRef],tblTransactions[[#This Row],[CustomerRef]],tblTransactions[Amount],tblTransactions[[#This Row],[Amount]],tblTransactions[Date],tblTransactions[[#This Row],[Date]])&gt;1),"Yes","No")</f>
        <v>No</v>
      </c>
    </row>
    <row r="242" spans="1:15" x14ac:dyDescent="0.3">
      <c r="A242" t="s">
        <v>714</v>
      </c>
      <c r="B242" s="2">
        <v>46211.797222222223</v>
      </c>
      <c r="C242" t="s">
        <v>28</v>
      </c>
      <c r="D242" t="s">
        <v>29</v>
      </c>
      <c r="E242" s="6">
        <v>39021.57</v>
      </c>
      <c r="F242" t="s">
        <v>11</v>
      </c>
      <c r="G242" t="s">
        <v>715</v>
      </c>
      <c r="H242" t="s">
        <v>716</v>
      </c>
      <c r="I242" s="116">
        <f>INT(tblTransactions[[#This Row],[TransactionDate]])</f>
        <v>46211</v>
      </c>
      <c r="J242" t="str">
        <f>IF(tblTransactions[[#This Row],[ApprovalID]]="", "R2 - Missing Approval Reference", "")</f>
        <v/>
      </c>
      <c r="K242" t="str">
        <f>IF(AND(tblTransactions[[#This Row],[ApprovalID]]&lt;&gt;"",COUNTIFS(tblApprovals[TransactionID],tblTransactions[[#This Row],[TransactionID]],tblApprovals[ApprovalID],tblTransactions[[#This Row],[ApprovalID]])=0),"R3 - Missing or Mismatched Approval Record", "")</f>
        <v/>
      </c>
      <c r="L24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2" t="str">
        <f>IF(AND(tblTransactions[[#This Row],[TransactionStatus]]="Success",COUNTIF(tblSettlement[TransactionID],tblTransactions[[#This Row],[TransactionID]])=0)," R5 - Successful Transaction Not Settled", "")</f>
        <v/>
      </c>
      <c r="N242" t="str">
        <f>IF(AND(COUNTIF(tblSettlement[TransactionID],tblTransactions[[#This Row],[TransactionID]])&gt;0,tblTransactions[[#This Row],[Amount]]&lt;&gt;SUMIF(tblSettlement[TransactionID],tblTransactions[[#This Row],[TransactionID]],tblSettlement[SettledAmount]))," R6 - Settlement Amount Mismatch", "")</f>
        <v/>
      </c>
      <c r="O242" t="str">
        <f>IF(AND(tblTransactions[[#This Row],[CustomerRef]] &lt;&gt;"",COUNTIFS(tblTransactions[CustomerRef],tblTransactions[[#This Row],[CustomerRef]],tblTransactions[Amount],tblTransactions[[#This Row],[Amount]],tblTransactions[Date],tblTransactions[[#This Row],[Date]])&gt;1),"Yes","No")</f>
        <v>No</v>
      </c>
    </row>
    <row r="243" spans="1:15" x14ac:dyDescent="0.3">
      <c r="A243" t="s">
        <v>717</v>
      </c>
      <c r="B243" s="2">
        <v>46226.665277777778</v>
      </c>
      <c r="C243" t="s">
        <v>28</v>
      </c>
      <c r="D243" t="s">
        <v>20</v>
      </c>
      <c r="E243" s="6">
        <v>40101.25</v>
      </c>
      <c r="F243" t="s">
        <v>11</v>
      </c>
      <c r="G243" t="s">
        <v>718</v>
      </c>
      <c r="H243" t="s">
        <v>719</v>
      </c>
      <c r="I243" s="116">
        <f>INT(tblTransactions[[#This Row],[TransactionDate]])</f>
        <v>46226</v>
      </c>
      <c r="J243" t="str">
        <f>IF(tblTransactions[[#This Row],[ApprovalID]]="", "R2 - Missing Approval Reference", "")</f>
        <v/>
      </c>
      <c r="K243" t="str">
        <f>IF(AND(tblTransactions[[#This Row],[ApprovalID]]&lt;&gt;"",COUNTIFS(tblApprovals[TransactionID],tblTransactions[[#This Row],[TransactionID]],tblApprovals[ApprovalID],tblTransactions[[#This Row],[ApprovalID]])=0),"R3 - Missing or Mismatched Approval Record", "")</f>
        <v/>
      </c>
      <c r="L24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3" t="str">
        <f>IF(AND(tblTransactions[[#This Row],[TransactionStatus]]="Success",COUNTIF(tblSettlement[TransactionID],tblTransactions[[#This Row],[TransactionID]])=0)," R5 - Successful Transaction Not Settled", "")</f>
        <v/>
      </c>
      <c r="N243" t="str">
        <f>IF(AND(COUNTIF(tblSettlement[TransactionID],tblTransactions[[#This Row],[TransactionID]])&gt;0,tblTransactions[[#This Row],[Amount]]&lt;&gt;SUMIF(tblSettlement[TransactionID],tblTransactions[[#This Row],[TransactionID]],tblSettlement[SettledAmount]))," R6 - Settlement Amount Mismatch", "")</f>
        <v/>
      </c>
      <c r="O243" t="str">
        <f>IF(AND(tblTransactions[[#This Row],[CustomerRef]] &lt;&gt;"",COUNTIFS(tblTransactions[CustomerRef],tblTransactions[[#This Row],[CustomerRef]],tblTransactions[Amount],tblTransactions[[#This Row],[Amount]],tblTransactions[Date],tblTransactions[[#This Row],[Date]])&gt;1),"Yes","No")</f>
        <v>No</v>
      </c>
    </row>
    <row r="244" spans="1:15" x14ac:dyDescent="0.3">
      <c r="A244" t="s">
        <v>720</v>
      </c>
      <c r="B244" s="2">
        <v>46235.524305555555</v>
      </c>
      <c r="C244" t="s">
        <v>24</v>
      </c>
      <c r="D244" t="s">
        <v>20</v>
      </c>
      <c r="E244" s="6">
        <v>22562.81</v>
      </c>
      <c r="F244" t="s">
        <v>111</v>
      </c>
      <c r="G244" t="s">
        <v>721</v>
      </c>
      <c r="H244" t="s">
        <v>722</v>
      </c>
      <c r="I244" s="116">
        <f>INT(tblTransactions[[#This Row],[TransactionDate]])</f>
        <v>46235</v>
      </c>
      <c r="J244" t="str">
        <f>IF(tblTransactions[[#This Row],[ApprovalID]]="", "R2 - Missing Approval Reference", "")</f>
        <v/>
      </c>
      <c r="K244" t="str">
        <f>IF(AND(tblTransactions[[#This Row],[ApprovalID]]&lt;&gt;"",COUNTIFS(tblApprovals[TransactionID],tblTransactions[[#This Row],[TransactionID]],tblApprovals[ApprovalID],tblTransactions[[#This Row],[ApprovalID]])=0),"R3 - Missing or Mismatched Approval Record", "")</f>
        <v/>
      </c>
      <c r="L24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4" t="str">
        <f>IF(AND(tblTransactions[[#This Row],[TransactionStatus]]="Success",COUNTIF(tblSettlement[TransactionID],tblTransactions[[#This Row],[TransactionID]])=0)," R5 - Successful Transaction Not Settled", "")</f>
        <v/>
      </c>
      <c r="N244" t="str">
        <f>IF(AND(COUNTIF(tblSettlement[TransactionID],tblTransactions[[#This Row],[TransactionID]])&gt;0,tblTransactions[[#This Row],[Amount]]&lt;&gt;SUMIF(tblSettlement[TransactionID],tblTransactions[[#This Row],[TransactionID]],tblSettlement[SettledAmount]))," R6 - Settlement Amount Mismatch", "")</f>
        <v/>
      </c>
      <c r="O244" t="str">
        <f>IF(AND(tblTransactions[[#This Row],[CustomerRef]] &lt;&gt;"",COUNTIFS(tblTransactions[CustomerRef],tblTransactions[[#This Row],[CustomerRef]],tblTransactions[Amount],tblTransactions[[#This Row],[Amount]],tblTransactions[Date],tblTransactions[[#This Row],[Date]])&gt;1),"Yes","No")</f>
        <v>No</v>
      </c>
    </row>
    <row r="245" spans="1:15" x14ac:dyDescent="0.3">
      <c r="A245" t="s">
        <v>723</v>
      </c>
      <c r="B245" s="2">
        <v>46244.640277777777</v>
      </c>
      <c r="C245" t="s">
        <v>28</v>
      </c>
      <c r="D245" t="s">
        <v>20</v>
      </c>
      <c r="E245" s="6">
        <v>42146.45</v>
      </c>
      <c r="F245" t="s">
        <v>111</v>
      </c>
      <c r="G245" t="s">
        <v>724</v>
      </c>
      <c r="H245" t="s">
        <v>725</v>
      </c>
      <c r="I245" s="116">
        <f>INT(tblTransactions[[#This Row],[TransactionDate]])</f>
        <v>46244</v>
      </c>
      <c r="J245" t="str">
        <f>IF(tblTransactions[[#This Row],[ApprovalID]]="", "R2 - Missing Approval Reference", "")</f>
        <v/>
      </c>
      <c r="K245" t="str">
        <f>IF(AND(tblTransactions[[#This Row],[ApprovalID]]&lt;&gt;"",COUNTIFS(tblApprovals[TransactionID],tblTransactions[[#This Row],[TransactionID]],tblApprovals[ApprovalID],tblTransactions[[#This Row],[ApprovalID]])=0),"R3 - Missing or Mismatched Approval Record", "")</f>
        <v/>
      </c>
      <c r="L24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5" t="str">
        <f>IF(AND(tblTransactions[[#This Row],[TransactionStatus]]="Success",COUNTIF(tblSettlement[TransactionID],tblTransactions[[#This Row],[TransactionID]])=0)," R5 - Successful Transaction Not Settled", "")</f>
        <v/>
      </c>
      <c r="N245" t="str">
        <f>IF(AND(COUNTIF(tblSettlement[TransactionID],tblTransactions[[#This Row],[TransactionID]])&gt;0,tblTransactions[[#This Row],[Amount]]&lt;&gt;SUMIF(tblSettlement[TransactionID],tblTransactions[[#This Row],[TransactionID]],tblSettlement[SettledAmount]))," R6 - Settlement Amount Mismatch", "")</f>
        <v/>
      </c>
      <c r="O245" t="str">
        <f>IF(AND(tblTransactions[[#This Row],[CustomerRef]] &lt;&gt;"",COUNTIFS(tblTransactions[CustomerRef],tblTransactions[[#This Row],[CustomerRef]],tblTransactions[Amount],tblTransactions[[#This Row],[Amount]],tblTransactions[Date],tblTransactions[[#This Row],[Date]])&gt;1),"Yes","No")</f>
        <v>No</v>
      </c>
    </row>
    <row r="246" spans="1:15" x14ac:dyDescent="0.3">
      <c r="A246" t="s">
        <v>726</v>
      </c>
      <c r="B246" s="2">
        <v>46252.934027777781</v>
      </c>
      <c r="C246" t="s">
        <v>9</v>
      </c>
      <c r="D246" t="s">
        <v>20</v>
      </c>
      <c r="E246" s="6">
        <v>61423.72</v>
      </c>
      <c r="F246" t="s">
        <v>111</v>
      </c>
      <c r="H246" t="s">
        <v>727</v>
      </c>
      <c r="I246" s="116">
        <f>INT(tblTransactions[[#This Row],[TransactionDate]])</f>
        <v>46252</v>
      </c>
      <c r="J246" t="str">
        <f>IF(tblTransactions[[#This Row],[ApprovalID]]="", "R2 - Missing Approval Reference", "")</f>
        <v>R2 - Missing Approval Reference</v>
      </c>
      <c r="K246" t="str">
        <f>IF(AND(tblTransactions[[#This Row],[ApprovalID]]&lt;&gt;"",COUNTIFS(tblApprovals[TransactionID],tblTransactions[[#This Row],[TransactionID]],tblApprovals[ApprovalID],tblTransactions[[#This Row],[ApprovalID]])=0),"R3 - Missing or Mismatched Approval Record", "")</f>
        <v/>
      </c>
      <c r="L24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6" t="str">
        <f>IF(AND(tblTransactions[[#This Row],[TransactionStatus]]="Success",COUNTIF(tblSettlement[TransactionID],tblTransactions[[#This Row],[TransactionID]])=0)," R5 - Successful Transaction Not Settled", "")</f>
        <v/>
      </c>
      <c r="N246" t="str">
        <f>IF(AND(COUNTIF(tblSettlement[TransactionID],tblTransactions[[#This Row],[TransactionID]])&gt;0,tblTransactions[[#This Row],[Amount]]&lt;&gt;SUMIF(tblSettlement[TransactionID],tblTransactions[[#This Row],[TransactionID]],tblSettlement[SettledAmount]))," R6 - Settlement Amount Mismatch", "")</f>
        <v/>
      </c>
      <c r="O246" t="str">
        <f>IF(AND(tblTransactions[[#This Row],[CustomerRef]] &lt;&gt;"",COUNTIFS(tblTransactions[CustomerRef],tblTransactions[[#This Row],[CustomerRef]],tblTransactions[Amount],tblTransactions[[#This Row],[Amount]],tblTransactions[Date],tblTransactions[[#This Row],[Date]])&gt;1),"Yes","No")</f>
        <v>No</v>
      </c>
    </row>
    <row r="247" spans="1:15" x14ac:dyDescent="0.3">
      <c r="A247" t="s">
        <v>728</v>
      </c>
      <c r="B247" s="2">
        <v>46248.936111111114</v>
      </c>
      <c r="C247" t="s">
        <v>9</v>
      </c>
      <c r="D247" t="s">
        <v>69</v>
      </c>
      <c r="E247" s="6">
        <v>49283.91</v>
      </c>
      <c r="F247" t="s">
        <v>11</v>
      </c>
      <c r="G247" t="s">
        <v>729</v>
      </c>
      <c r="H247" t="s">
        <v>730</v>
      </c>
      <c r="I247" s="116">
        <f>INT(tblTransactions[[#This Row],[TransactionDate]])</f>
        <v>46248</v>
      </c>
      <c r="J247" t="str">
        <f>IF(tblTransactions[[#This Row],[ApprovalID]]="", "R2 - Missing Approval Reference", "")</f>
        <v/>
      </c>
      <c r="K247" t="str">
        <f>IF(AND(tblTransactions[[#This Row],[ApprovalID]]&lt;&gt;"",COUNTIFS(tblApprovals[TransactionID],tblTransactions[[#This Row],[TransactionID]],tblApprovals[ApprovalID],tblTransactions[[#This Row],[ApprovalID]])=0),"R3 - Missing or Mismatched Approval Record", "")</f>
        <v/>
      </c>
      <c r="L24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7" t="str">
        <f>IF(AND(tblTransactions[[#This Row],[TransactionStatus]]="Success",COUNTIF(tblSettlement[TransactionID],tblTransactions[[#This Row],[TransactionID]])=0)," R5 - Successful Transaction Not Settled", "")</f>
        <v/>
      </c>
      <c r="N247" t="str">
        <f>IF(AND(COUNTIF(tblSettlement[TransactionID],tblTransactions[[#This Row],[TransactionID]])&gt;0,tblTransactions[[#This Row],[Amount]]&lt;&gt;SUMIF(tblSettlement[TransactionID],tblTransactions[[#This Row],[TransactionID]],tblSettlement[SettledAmount]))," R6 - Settlement Amount Mismatch", "")</f>
        <v/>
      </c>
      <c r="O247" t="str">
        <f>IF(AND(tblTransactions[[#This Row],[CustomerRef]] &lt;&gt;"",COUNTIFS(tblTransactions[CustomerRef],tblTransactions[[#This Row],[CustomerRef]],tblTransactions[Amount],tblTransactions[[#This Row],[Amount]],tblTransactions[Date],tblTransactions[[#This Row],[Date]])&gt;1),"Yes","No")</f>
        <v>No</v>
      </c>
    </row>
    <row r="248" spans="1:15" x14ac:dyDescent="0.3">
      <c r="A248" t="s">
        <v>731</v>
      </c>
      <c r="B248" s="2">
        <v>46275.803472222222</v>
      </c>
      <c r="C248" t="s">
        <v>19</v>
      </c>
      <c r="D248" t="s">
        <v>69</v>
      </c>
      <c r="E248" s="6">
        <v>10511.15</v>
      </c>
      <c r="F248" t="s">
        <v>11</v>
      </c>
      <c r="G248" t="s">
        <v>732</v>
      </c>
      <c r="H248" t="s">
        <v>733</v>
      </c>
      <c r="I248" s="116">
        <f>INT(tblTransactions[[#This Row],[TransactionDate]])</f>
        <v>46275</v>
      </c>
      <c r="J248" t="str">
        <f>IF(tblTransactions[[#This Row],[ApprovalID]]="", "R2 - Missing Approval Reference", "")</f>
        <v/>
      </c>
      <c r="K248" t="str">
        <f>IF(AND(tblTransactions[[#This Row],[ApprovalID]]&lt;&gt;"",COUNTIFS(tblApprovals[TransactionID],tblTransactions[[#This Row],[TransactionID]],tblApprovals[ApprovalID],tblTransactions[[#This Row],[ApprovalID]])=0),"R3 - Missing or Mismatched Approval Record", "")</f>
        <v/>
      </c>
      <c r="L24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8" t="str">
        <f>IF(AND(tblTransactions[[#This Row],[TransactionStatus]]="Success",COUNTIF(tblSettlement[TransactionID],tblTransactions[[#This Row],[TransactionID]])=0)," R5 - Successful Transaction Not Settled", "")</f>
        <v/>
      </c>
      <c r="N248" t="str">
        <f>IF(AND(COUNTIF(tblSettlement[TransactionID],tblTransactions[[#This Row],[TransactionID]])&gt;0,tblTransactions[[#This Row],[Amount]]&lt;&gt;SUMIF(tblSettlement[TransactionID],tblTransactions[[#This Row],[TransactionID]],tblSettlement[SettledAmount]))," R6 - Settlement Amount Mismatch", "")</f>
        <v/>
      </c>
      <c r="O248" t="str">
        <f>IF(AND(tblTransactions[[#This Row],[CustomerRef]] &lt;&gt;"",COUNTIFS(tblTransactions[CustomerRef],tblTransactions[[#This Row],[CustomerRef]],tblTransactions[Amount],tblTransactions[[#This Row],[Amount]],tblTransactions[Date],tblTransactions[[#This Row],[Date]])&gt;1),"Yes","No")</f>
        <v>No</v>
      </c>
    </row>
    <row r="249" spans="1:15" x14ac:dyDescent="0.3">
      <c r="A249" t="s">
        <v>734</v>
      </c>
      <c r="B249" s="2">
        <v>46232.759722222225</v>
      </c>
      <c r="C249" t="s">
        <v>28</v>
      </c>
      <c r="D249" t="s">
        <v>29</v>
      </c>
      <c r="E249" s="6">
        <v>4173.71</v>
      </c>
      <c r="F249" t="s">
        <v>11</v>
      </c>
      <c r="G249" t="s">
        <v>735</v>
      </c>
      <c r="H249" t="s">
        <v>736</v>
      </c>
      <c r="I249" s="116">
        <f>INT(tblTransactions[[#This Row],[TransactionDate]])</f>
        <v>46232</v>
      </c>
      <c r="J249" t="str">
        <f>IF(tblTransactions[[#This Row],[ApprovalID]]="", "R2 - Missing Approval Reference", "")</f>
        <v/>
      </c>
      <c r="K249" t="str">
        <f>IF(AND(tblTransactions[[#This Row],[ApprovalID]]&lt;&gt;"",COUNTIFS(tblApprovals[TransactionID],tblTransactions[[#This Row],[TransactionID]],tblApprovals[ApprovalID],tblTransactions[[#This Row],[ApprovalID]])=0),"R3 - Missing or Mismatched Approval Record", "")</f>
        <v/>
      </c>
      <c r="L24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49" t="str">
        <f>IF(AND(tblTransactions[[#This Row],[TransactionStatus]]="Success",COUNTIF(tblSettlement[TransactionID],tblTransactions[[#This Row],[TransactionID]])=0)," R5 - Successful Transaction Not Settled", "")</f>
        <v/>
      </c>
      <c r="N249" t="str">
        <f>IF(AND(COUNTIF(tblSettlement[TransactionID],tblTransactions[[#This Row],[TransactionID]])&gt;0,tblTransactions[[#This Row],[Amount]]&lt;&gt;SUMIF(tblSettlement[TransactionID],tblTransactions[[#This Row],[TransactionID]],tblSettlement[SettledAmount]))," R6 - Settlement Amount Mismatch", "")</f>
        <v/>
      </c>
      <c r="O249" t="str">
        <f>IF(AND(tblTransactions[[#This Row],[CustomerRef]] &lt;&gt;"",COUNTIFS(tblTransactions[CustomerRef],tblTransactions[[#This Row],[CustomerRef]],tblTransactions[Amount],tblTransactions[[#This Row],[Amount]],tblTransactions[Date],tblTransactions[[#This Row],[Date]])&gt;1),"Yes","No")</f>
        <v>No</v>
      </c>
    </row>
    <row r="250" spans="1:15" x14ac:dyDescent="0.3">
      <c r="A250" t="s">
        <v>737</v>
      </c>
      <c r="B250" s="2">
        <v>46204.707638888889</v>
      </c>
      <c r="C250" t="s">
        <v>43</v>
      </c>
      <c r="D250" t="s">
        <v>29</v>
      </c>
      <c r="E250" s="6">
        <v>12056.1</v>
      </c>
      <c r="F250" t="s">
        <v>11</v>
      </c>
      <c r="G250" t="s">
        <v>738</v>
      </c>
      <c r="H250" t="s">
        <v>739</v>
      </c>
      <c r="I250" s="116">
        <f>INT(tblTransactions[[#This Row],[TransactionDate]])</f>
        <v>46204</v>
      </c>
      <c r="J250" t="str">
        <f>IF(tblTransactions[[#This Row],[ApprovalID]]="", "R2 - Missing Approval Reference", "")</f>
        <v/>
      </c>
      <c r="K250" t="str">
        <f>IF(AND(tblTransactions[[#This Row],[ApprovalID]]&lt;&gt;"",COUNTIFS(tblApprovals[TransactionID],tblTransactions[[#This Row],[TransactionID]],tblApprovals[ApprovalID],tblTransactions[[#This Row],[ApprovalID]])=0),"R3 - Missing or Mismatched Approval Record", "")</f>
        <v/>
      </c>
      <c r="L25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0" t="str">
        <f>IF(AND(tblTransactions[[#This Row],[TransactionStatus]]="Success",COUNTIF(tblSettlement[TransactionID],tblTransactions[[#This Row],[TransactionID]])=0)," R5 - Successful Transaction Not Settled", "")</f>
        <v/>
      </c>
      <c r="N250" t="str">
        <f>IF(AND(COUNTIF(tblSettlement[TransactionID],tblTransactions[[#This Row],[TransactionID]])&gt;0,tblTransactions[[#This Row],[Amount]]&lt;&gt;SUMIF(tblSettlement[TransactionID],tblTransactions[[#This Row],[TransactionID]],tblSettlement[SettledAmount]))," R6 - Settlement Amount Mismatch", "")</f>
        <v/>
      </c>
      <c r="O250" t="str">
        <f>IF(AND(tblTransactions[[#This Row],[CustomerRef]] &lt;&gt;"",COUNTIFS(tblTransactions[CustomerRef],tblTransactions[[#This Row],[CustomerRef]],tblTransactions[Amount],tblTransactions[[#This Row],[Amount]],tblTransactions[Date],tblTransactions[[#This Row],[Date]])&gt;1),"Yes","No")</f>
        <v>No</v>
      </c>
    </row>
    <row r="251" spans="1:15" x14ac:dyDescent="0.3">
      <c r="A251" t="s">
        <v>740</v>
      </c>
      <c r="B251" s="2">
        <v>46245.52847222222</v>
      </c>
      <c r="C251" t="s">
        <v>28</v>
      </c>
      <c r="D251" t="s">
        <v>15</v>
      </c>
      <c r="E251" s="6">
        <v>4672.3999999999996</v>
      </c>
      <c r="F251" t="s">
        <v>11</v>
      </c>
      <c r="G251" t="s">
        <v>741</v>
      </c>
      <c r="H251" t="s">
        <v>742</v>
      </c>
      <c r="I251" s="116">
        <f>INT(tblTransactions[[#This Row],[TransactionDate]])</f>
        <v>46245</v>
      </c>
      <c r="J251" t="str">
        <f>IF(tblTransactions[[#This Row],[ApprovalID]]="", "R2 - Missing Approval Reference", "")</f>
        <v/>
      </c>
      <c r="K251" t="str">
        <f>IF(AND(tblTransactions[[#This Row],[ApprovalID]]&lt;&gt;"",COUNTIFS(tblApprovals[TransactionID],tblTransactions[[#This Row],[TransactionID]],tblApprovals[ApprovalID],tblTransactions[[#This Row],[ApprovalID]])=0),"R3 - Missing or Mismatched Approval Record", "")</f>
        <v/>
      </c>
      <c r="L25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1" t="str">
        <f>IF(AND(tblTransactions[[#This Row],[TransactionStatus]]="Success",COUNTIF(tblSettlement[TransactionID],tblTransactions[[#This Row],[TransactionID]])=0)," R5 - Successful Transaction Not Settled", "")</f>
        <v/>
      </c>
      <c r="N251" t="str">
        <f>IF(AND(COUNTIF(tblSettlement[TransactionID],tblTransactions[[#This Row],[TransactionID]])&gt;0,tblTransactions[[#This Row],[Amount]]&lt;&gt;SUMIF(tblSettlement[TransactionID],tblTransactions[[#This Row],[TransactionID]],tblSettlement[SettledAmount]))," R6 - Settlement Amount Mismatch", "")</f>
        <v/>
      </c>
      <c r="O251" t="str">
        <f>IF(AND(tblTransactions[[#This Row],[CustomerRef]] &lt;&gt;"",COUNTIFS(tblTransactions[CustomerRef],tblTransactions[[#This Row],[CustomerRef]],tblTransactions[Amount],tblTransactions[[#This Row],[Amount]],tblTransactions[Date],tblTransactions[[#This Row],[Date]])&gt;1),"Yes","No")</f>
        <v>No</v>
      </c>
    </row>
    <row r="252" spans="1:15" x14ac:dyDescent="0.3">
      <c r="A252" t="s">
        <v>743</v>
      </c>
      <c r="B252" s="2">
        <v>46226.62222222222</v>
      </c>
      <c r="C252" t="s">
        <v>47</v>
      </c>
      <c r="D252" t="s">
        <v>29</v>
      </c>
      <c r="E252" s="6">
        <v>62860.97</v>
      </c>
      <c r="F252" t="s">
        <v>111</v>
      </c>
      <c r="G252" t="s">
        <v>744</v>
      </c>
      <c r="H252" t="s">
        <v>745</v>
      </c>
      <c r="I252" s="116">
        <f>INT(tblTransactions[[#This Row],[TransactionDate]])</f>
        <v>46226</v>
      </c>
      <c r="J252" t="str">
        <f>IF(tblTransactions[[#This Row],[ApprovalID]]="", "R2 - Missing Approval Reference", "")</f>
        <v/>
      </c>
      <c r="K252" t="str">
        <f>IF(AND(tblTransactions[[#This Row],[ApprovalID]]&lt;&gt;"",COUNTIFS(tblApprovals[TransactionID],tblTransactions[[#This Row],[TransactionID]],tblApprovals[ApprovalID],tblTransactions[[#This Row],[ApprovalID]])=0),"R3 - Missing or Mismatched Approval Record", "")</f>
        <v/>
      </c>
      <c r="L25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2" t="str">
        <f>IF(AND(tblTransactions[[#This Row],[TransactionStatus]]="Success",COUNTIF(tblSettlement[TransactionID],tblTransactions[[#This Row],[TransactionID]])=0)," R5 - Successful Transaction Not Settled", "")</f>
        <v/>
      </c>
      <c r="N252" t="str">
        <f>IF(AND(COUNTIF(tblSettlement[TransactionID],tblTransactions[[#This Row],[TransactionID]])&gt;0,tblTransactions[[#This Row],[Amount]]&lt;&gt;SUMIF(tblSettlement[TransactionID],tblTransactions[[#This Row],[TransactionID]],tblSettlement[SettledAmount]))," R6 - Settlement Amount Mismatch", "")</f>
        <v/>
      </c>
      <c r="O252" t="str">
        <f>IF(AND(tblTransactions[[#This Row],[CustomerRef]] &lt;&gt;"",COUNTIFS(tblTransactions[CustomerRef],tblTransactions[[#This Row],[CustomerRef]],tblTransactions[Amount],tblTransactions[[#This Row],[Amount]],tblTransactions[Date],tblTransactions[[#This Row],[Date]])&gt;1),"Yes","No")</f>
        <v>No</v>
      </c>
    </row>
    <row r="253" spans="1:15" x14ac:dyDescent="0.3">
      <c r="A253" t="s">
        <v>746</v>
      </c>
      <c r="B253" s="2">
        <v>46241.918055555558</v>
      </c>
      <c r="C253" t="s">
        <v>47</v>
      </c>
      <c r="D253" t="s">
        <v>20</v>
      </c>
      <c r="E253" s="6">
        <v>942.72</v>
      </c>
      <c r="F253" t="s">
        <v>11</v>
      </c>
      <c r="G253" t="s">
        <v>747</v>
      </c>
      <c r="H253" t="s">
        <v>748</v>
      </c>
      <c r="I253" s="116">
        <f>INT(tblTransactions[[#This Row],[TransactionDate]])</f>
        <v>46241</v>
      </c>
      <c r="J253" t="str">
        <f>IF(tblTransactions[[#This Row],[ApprovalID]]="", "R2 - Missing Approval Reference", "")</f>
        <v/>
      </c>
      <c r="K253" t="str">
        <f>IF(AND(tblTransactions[[#This Row],[ApprovalID]]&lt;&gt;"",COUNTIFS(tblApprovals[TransactionID],tblTransactions[[#This Row],[TransactionID]],tblApprovals[ApprovalID],tblTransactions[[#This Row],[ApprovalID]])=0),"R3 - Missing or Mismatched Approval Record", "")</f>
        <v/>
      </c>
      <c r="L25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253" t="str">
        <f>IF(AND(tblTransactions[[#This Row],[TransactionStatus]]="Success",COUNTIF(tblSettlement[TransactionID],tblTransactions[[#This Row],[TransactionID]])=0)," R5 - Successful Transaction Not Settled", "")</f>
        <v/>
      </c>
      <c r="N253" t="str">
        <f>IF(AND(COUNTIF(tblSettlement[TransactionID],tblTransactions[[#This Row],[TransactionID]])&gt;0,tblTransactions[[#This Row],[Amount]]&lt;&gt;SUMIF(tblSettlement[TransactionID],tblTransactions[[#This Row],[TransactionID]],tblSettlement[SettledAmount]))," R6 - Settlement Amount Mismatch", "")</f>
        <v/>
      </c>
      <c r="O253" t="str">
        <f>IF(AND(tblTransactions[[#This Row],[CustomerRef]] &lt;&gt;"",COUNTIFS(tblTransactions[CustomerRef],tblTransactions[[#This Row],[CustomerRef]],tblTransactions[Amount],tblTransactions[[#This Row],[Amount]],tblTransactions[Date],tblTransactions[[#This Row],[Date]])&gt;1),"Yes","No")</f>
        <v>No</v>
      </c>
    </row>
    <row r="254" spans="1:15" x14ac:dyDescent="0.3">
      <c r="A254" t="s">
        <v>749</v>
      </c>
      <c r="B254" s="2">
        <v>46271.663888888892</v>
      </c>
      <c r="C254" t="s">
        <v>43</v>
      </c>
      <c r="D254" t="s">
        <v>20</v>
      </c>
      <c r="E254" s="6">
        <v>70407.399999999994</v>
      </c>
      <c r="F254" t="s">
        <v>11</v>
      </c>
      <c r="G254" t="s">
        <v>750</v>
      </c>
      <c r="H254" t="s">
        <v>751</v>
      </c>
      <c r="I254" s="116">
        <f>INT(tblTransactions[[#This Row],[TransactionDate]])</f>
        <v>46271</v>
      </c>
      <c r="J254" t="str">
        <f>IF(tblTransactions[[#This Row],[ApprovalID]]="", "R2 - Missing Approval Reference", "")</f>
        <v/>
      </c>
      <c r="K254" t="str">
        <f>IF(AND(tblTransactions[[#This Row],[ApprovalID]]&lt;&gt;"",COUNTIFS(tblApprovals[TransactionID],tblTransactions[[#This Row],[TransactionID]],tblApprovals[ApprovalID],tblTransactions[[#This Row],[ApprovalID]])=0),"R3 - Missing or Mismatched Approval Record", "")</f>
        <v/>
      </c>
      <c r="L25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4" t="str">
        <f>IF(AND(tblTransactions[[#This Row],[TransactionStatus]]="Success",COUNTIF(tblSettlement[TransactionID],tblTransactions[[#This Row],[TransactionID]])=0)," R5 - Successful Transaction Not Settled", "")</f>
        <v/>
      </c>
      <c r="N254" t="str">
        <f>IF(AND(COUNTIF(tblSettlement[TransactionID],tblTransactions[[#This Row],[TransactionID]])&gt;0,tblTransactions[[#This Row],[Amount]]&lt;&gt;SUMIF(tblSettlement[TransactionID],tblTransactions[[#This Row],[TransactionID]],tblSettlement[SettledAmount]))," R6 - Settlement Amount Mismatch", "")</f>
        <v/>
      </c>
      <c r="O254" t="str">
        <f>IF(AND(tblTransactions[[#This Row],[CustomerRef]] &lt;&gt;"",COUNTIFS(tblTransactions[CustomerRef],tblTransactions[[#This Row],[CustomerRef]],tblTransactions[Amount],tblTransactions[[#This Row],[Amount]],tblTransactions[Date],tblTransactions[[#This Row],[Date]])&gt;1),"Yes","No")</f>
        <v>No</v>
      </c>
    </row>
    <row r="255" spans="1:15" x14ac:dyDescent="0.3">
      <c r="A255" t="s">
        <v>752</v>
      </c>
      <c r="B255" s="2">
        <v>46246.448611111111</v>
      </c>
      <c r="C255" t="s">
        <v>9</v>
      </c>
      <c r="D255" t="s">
        <v>10</v>
      </c>
      <c r="E255" s="6">
        <v>34553.86</v>
      </c>
      <c r="F255" t="s">
        <v>11</v>
      </c>
      <c r="G255" t="s">
        <v>753</v>
      </c>
      <c r="H255" t="s">
        <v>754</v>
      </c>
      <c r="I255" s="116">
        <f>INT(tblTransactions[[#This Row],[TransactionDate]])</f>
        <v>46246</v>
      </c>
      <c r="J255" t="str">
        <f>IF(tblTransactions[[#This Row],[ApprovalID]]="", "R2 - Missing Approval Reference", "")</f>
        <v/>
      </c>
      <c r="K255" t="str">
        <f>IF(AND(tblTransactions[[#This Row],[ApprovalID]]&lt;&gt;"",COUNTIFS(tblApprovals[TransactionID],tblTransactions[[#This Row],[TransactionID]],tblApprovals[ApprovalID],tblTransactions[[#This Row],[ApprovalID]])=0),"R3 - Missing or Mismatched Approval Record", "")</f>
        <v/>
      </c>
      <c r="L25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5" t="str">
        <f>IF(AND(tblTransactions[[#This Row],[TransactionStatus]]="Success",COUNTIF(tblSettlement[TransactionID],tblTransactions[[#This Row],[TransactionID]])=0)," R5 - Successful Transaction Not Settled", "")</f>
        <v/>
      </c>
      <c r="N255" t="str">
        <f>IF(AND(COUNTIF(tblSettlement[TransactionID],tblTransactions[[#This Row],[TransactionID]])&gt;0,tblTransactions[[#This Row],[Amount]]&lt;&gt;SUMIF(tblSettlement[TransactionID],tblTransactions[[#This Row],[TransactionID]],tblSettlement[SettledAmount]))," R6 - Settlement Amount Mismatch", "")</f>
        <v/>
      </c>
      <c r="O255" t="str">
        <f>IF(AND(tblTransactions[[#This Row],[CustomerRef]] &lt;&gt;"",COUNTIFS(tblTransactions[CustomerRef],tblTransactions[[#This Row],[CustomerRef]],tblTransactions[Amount],tblTransactions[[#This Row],[Amount]],tblTransactions[Date],tblTransactions[[#This Row],[Date]])&gt;1),"Yes","No")</f>
        <v>No</v>
      </c>
    </row>
    <row r="256" spans="1:15" x14ac:dyDescent="0.3">
      <c r="A256" t="s">
        <v>755</v>
      </c>
      <c r="B256" s="2">
        <v>46276.783333333333</v>
      </c>
      <c r="C256" t="s">
        <v>28</v>
      </c>
      <c r="D256" t="s">
        <v>29</v>
      </c>
      <c r="E256" s="6">
        <v>14688.81</v>
      </c>
      <c r="F256" t="s">
        <v>11</v>
      </c>
      <c r="G256" t="s">
        <v>756</v>
      </c>
      <c r="H256" t="s">
        <v>757</v>
      </c>
      <c r="I256" s="116">
        <f>INT(tblTransactions[[#This Row],[TransactionDate]])</f>
        <v>46276</v>
      </c>
      <c r="J256" t="str">
        <f>IF(tblTransactions[[#This Row],[ApprovalID]]="", "R2 - Missing Approval Reference", "")</f>
        <v/>
      </c>
      <c r="K256" t="str">
        <f>IF(AND(tblTransactions[[#This Row],[ApprovalID]]&lt;&gt;"",COUNTIFS(tblApprovals[TransactionID],tblTransactions[[#This Row],[TransactionID]],tblApprovals[ApprovalID],tblTransactions[[#This Row],[ApprovalID]])=0),"R3 - Missing or Mismatched Approval Record", "")</f>
        <v/>
      </c>
      <c r="L25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6" t="str">
        <f>IF(AND(tblTransactions[[#This Row],[TransactionStatus]]="Success",COUNTIF(tblSettlement[TransactionID],tblTransactions[[#This Row],[TransactionID]])=0)," R5 - Successful Transaction Not Settled", "")</f>
        <v/>
      </c>
      <c r="N256" t="str">
        <f>IF(AND(COUNTIF(tblSettlement[TransactionID],tblTransactions[[#This Row],[TransactionID]])&gt;0,tblTransactions[[#This Row],[Amount]]&lt;&gt;SUMIF(tblSettlement[TransactionID],tblTransactions[[#This Row],[TransactionID]],tblSettlement[SettledAmount]))," R6 - Settlement Amount Mismatch", "")</f>
        <v/>
      </c>
      <c r="O256" t="str">
        <f>IF(AND(tblTransactions[[#This Row],[CustomerRef]] &lt;&gt;"",COUNTIFS(tblTransactions[CustomerRef],tblTransactions[[#This Row],[CustomerRef]],tblTransactions[Amount],tblTransactions[[#This Row],[Amount]],tblTransactions[Date],tblTransactions[[#This Row],[Date]])&gt;1),"Yes","No")</f>
        <v>No</v>
      </c>
    </row>
    <row r="257" spans="1:15" x14ac:dyDescent="0.3">
      <c r="A257" t="s">
        <v>758</v>
      </c>
      <c r="B257" s="2">
        <v>46245.392361111109</v>
      </c>
      <c r="C257" t="s">
        <v>9</v>
      </c>
      <c r="D257" t="s">
        <v>29</v>
      </c>
      <c r="E257" s="6">
        <v>50276.88</v>
      </c>
      <c r="F257" t="s">
        <v>11</v>
      </c>
      <c r="G257" t="s">
        <v>759</v>
      </c>
      <c r="H257" t="s">
        <v>760</v>
      </c>
      <c r="I257" s="116">
        <f>INT(tblTransactions[[#This Row],[TransactionDate]])</f>
        <v>46245</v>
      </c>
      <c r="J257" t="str">
        <f>IF(tblTransactions[[#This Row],[ApprovalID]]="", "R2 - Missing Approval Reference", "")</f>
        <v/>
      </c>
      <c r="K257" t="str">
        <f>IF(AND(tblTransactions[[#This Row],[ApprovalID]]&lt;&gt;"",COUNTIFS(tblApprovals[TransactionID],tblTransactions[[#This Row],[TransactionID]],tblApprovals[ApprovalID],tblTransactions[[#This Row],[ApprovalID]])=0),"R3 - Missing or Mismatched Approval Record", "")</f>
        <v/>
      </c>
      <c r="L25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7" t="str">
        <f>IF(AND(tblTransactions[[#This Row],[TransactionStatus]]="Success",COUNTIF(tblSettlement[TransactionID],tblTransactions[[#This Row],[TransactionID]])=0)," R5 - Successful Transaction Not Settled", "")</f>
        <v/>
      </c>
      <c r="N257" t="str">
        <f>IF(AND(COUNTIF(tblSettlement[TransactionID],tblTransactions[[#This Row],[TransactionID]])&gt;0,tblTransactions[[#This Row],[Amount]]&lt;&gt;SUMIF(tblSettlement[TransactionID],tblTransactions[[#This Row],[TransactionID]],tblSettlement[SettledAmount]))," R6 - Settlement Amount Mismatch", "")</f>
        <v/>
      </c>
      <c r="O257" t="str">
        <f>IF(AND(tblTransactions[[#This Row],[CustomerRef]] &lt;&gt;"",COUNTIFS(tblTransactions[CustomerRef],tblTransactions[[#This Row],[CustomerRef]],tblTransactions[Amount],tblTransactions[[#This Row],[Amount]],tblTransactions[Date],tblTransactions[[#This Row],[Date]])&gt;1),"Yes","No")</f>
        <v>No</v>
      </c>
    </row>
    <row r="258" spans="1:15" x14ac:dyDescent="0.3">
      <c r="A258" t="s">
        <v>761</v>
      </c>
      <c r="B258" s="2">
        <v>46204.51666666667</v>
      </c>
      <c r="C258" t="s">
        <v>24</v>
      </c>
      <c r="D258" t="s">
        <v>20</v>
      </c>
      <c r="E258" s="6">
        <v>17855.21</v>
      </c>
      <c r="F258" t="s">
        <v>11</v>
      </c>
      <c r="G258" t="s">
        <v>762</v>
      </c>
      <c r="H258" t="s">
        <v>763</v>
      </c>
      <c r="I258" s="116">
        <f>INT(tblTransactions[[#This Row],[TransactionDate]])</f>
        <v>46204</v>
      </c>
      <c r="J258" t="str">
        <f>IF(tblTransactions[[#This Row],[ApprovalID]]="", "R2 - Missing Approval Reference", "")</f>
        <v/>
      </c>
      <c r="K258" t="str">
        <f>IF(AND(tblTransactions[[#This Row],[ApprovalID]]&lt;&gt;"",COUNTIFS(tblApprovals[TransactionID],tblTransactions[[#This Row],[TransactionID]],tblApprovals[ApprovalID],tblTransactions[[#This Row],[ApprovalID]])=0),"R3 - Missing or Mismatched Approval Record", "")</f>
        <v/>
      </c>
      <c r="L25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8" t="str">
        <f>IF(AND(tblTransactions[[#This Row],[TransactionStatus]]="Success",COUNTIF(tblSettlement[TransactionID],tblTransactions[[#This Row],[TransactionID]])=0)," R5 - Successful Transaction Not Settled", "")</f>
        <v/>
      </c>
      <c r="N258" t="str">
        <f>IF(AND(COUNTIF(tblSettlement[TransactionID],tblTransactions[[#This Row],[TransactionID]])&gt;0,tblTransactions[[#This Row],[Amount]]&lt;&gt;SUMIF(tblSettlement[TransactionID],tblTransactions[[#This Row],[TransactionID]],tblSettlement[SettledAmount]))," R6 - Settlement Amount Mismatch", "")</f>
        <v/>
      </c>
      <c r="O258" t="str">
        <f>IF(AND(tblTransactions[[#This Row],[CustomerRef]] &lt;&gt;"",COUNTIFS(tblTransactions[CustomerRef],tblTransactions[[#This Row],[CustomerRef]],tblTransactions[Amount],tblTransactions[[#This Row],[Amount]],tblTransactions[Date],tblTransactions[[#This Row],[Date]])&gt;1),"Yes","No")</f>
        <v>No</v>
      </c>
    </row>
    <row r="259" spans="1:15" x14ac:dyDescent="0.3">
      <c r="A259" t="s">
        <v>764</v>
      </c>
      <c r="B259" s="2">
        <v>46237.765972222223</v>
      </c>
      <c r="C259" t="s">
        <v>47</v>
      </c>
      <c r="D259" t="s">
        <v>29</v>
      </c>
      <c r="E259" s="6">
        <v>52034.45</v>
      </c>
      <c r="F259" t="s">
        <v>11</v>
      </c>
      <c r="G259" t="s">
        <v>765</v>
      </c>
      <c r="H259" t="s">
        <v>766</v>
      </c>
      <c r="I259" s="116">
        <f>INT(tblTransactions[[#This Row],[TransactionDate]])</f>
        <v>46237</v>
      </c>
      <c r="J259" t="str">
        <f>IF(tblTransactions[[#This Row],[ApprovalID]]="", "R2 - Missing Approval Reference", "")</f>
        <v/>
      </c>
      <c r="K259" t="str">
        <f>IF(AND(tblTransactions[[#This Row],[ApprovalID]]&lt;&gt;"",COUNTIFS(tblApprovals[TransactionID],tblTransactions[[#This Row],[TransactionID]],tblApprovals[ApprovalID],tblTransactions[[#This Row],[ApprovalID]])=0),"R3 - Missing or Mismatched Approval Record", "")</f>
        <v/>
      </c>
      <c r="L25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59" t="str">
        <f>IF(AND(tblTransactions[[#This Row],[TransactionStatus]]="Success",COUNTIF(tblSettlement[TransactionID],tblTransactions[[#This Row],[TransactionID]])=0)," R5 - Successful Transaction Not Settled", "")</f>
        <v/>
      </c>
      <c r="N259" t="str">
        <f>IF(AND(COUNTIF(tblSettlement[TransactionID],tblTransactions[[#This Row],[TransactionID]])&gt;0,tblTransactions[[#This Row],[Amount]]&lt;&gt;SUMIF(tblSettlement[TransactionID],tblTransactions[[#This Row],[TransactionID]],tblSettlement[SettledAmount]))," R6 - Settlement Amount Mismatch", "")</f>
        <v/>
      </c>
      <c r="O259" t="str">
        <f>IF(AND(tblTransactions[[#This Row],[CustomerRef]] &lt;&gt;"",COUNTIFS(tblTransactions[CustomerRef],tblTransactions[[#This Row],[CustomerRef]],tblTransactions[Amount],tblTransactions[[#This Row],[Amount]],tblTransactions[Date],tblTransactions[[#This Row],[Date]])&gt;1),"Yes","No")</f>
        <v>No</v>
      </c>
    </row>
    <row r="260" spans="1:15" x14ac:dyDescent="0.3">
      <c r="A260" t="s">
        <v>767</v>
      </c>
      <c r="B260" s="2">
        <v>46291.707638888889</v>
      </c>
      <c r="C260" t="s">
        <v>24</v>
      </c>
      <c r="D260" t="s">
        <v>10</v>
      </c>
      <c r="E260" s="6">
        <v>67160.100000000006</v>
      </c>
      <c r="F260" t="s">
        <v>11</v>
      </c>
      <c r="G260" t="s">
        <v>768</v>
      </c>
      <c r="H260" t="s">
        <v>754</v>
      </c>
      <c r="I260" s="116">
        <f>INT(tblTransactions[[#This Row],[TransactionDate]])</f>
        <v>46291</v>
      </c>
      <c r="J260" t="str">
        <f>IF(tblTransactions[[#This Row],[ApprovalID]]="", "R2 - Missing Approval Reference", "")</f>
        <v/>
      </c>
      <c r="K260" t="str">
        <f>IF(AND(tblTransactions[[#This Row],[ApprovalID]]&lt;&gt;"",COUNTIFS(tblApprovals[TransactionID],tblTransactions[[#This Row],[TransactionID]],tblApprovals[ApprovalID],tblTransactions[[#This Row],[ApprovalID]])=0),"R3 - Missing or Mismatched Approval Record", "")</f>
        <v/>
      </c>
      <c r="L26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0" t="str">
        <f>IF(AND(tblTransactions[[#This Row],[TransactionStatus]]="Success",COUNTIF(tblSettlement[TransactionID],tblTransactions[[#This Row],[TransactionID]])=0)," R5 - Successful Transaction Not Settled", "")</f>
        <v/>
      </c>
      <c r="N260" t="str">
        <f>IF(AND(COUNTIF(tblSettlement[TransactionID],tblTransactions[[#This Row],[TransactionID]])&gt;0,tblTransactions[[#This Row],[Amount]]&lt;&gt;SUMIF(tblSettlement[TransactionID],tblTransactions[[#This Row],[TransactionID]],tblSettlement[SettledAmount]))," R6 - Settlement Amount Mismatch", "")</f>
        <v/>
      </c>
      <c r="O260" t="str">
        <f>IF(AND(tblTransactions[[#This Row],[CustomerRef]] &lt;&gt;"",COUNTIFS(tblTransactions[CustomerRef],tblTransactions[[#This Row],[CustomerRef]],tblTransactions[Amount],tblTransactions[[#This Row],[Amount]],tblTransactions[Date],tblTransactions[[#This Row],[Date]])&gt;1),"Yes","No")</f>
        <v>No</v>
      </c>
    </row>
    <row r="261" spans="1:15" x14ac:dyDescent="0.3">
      <c r="A261" t="s">
        <v>769</v>
      </c>
      <c r="B261" s="2">
        <v>46251.718055555553</v>
      </c>
      <c r="C261" t="s">
        <v>9</v>
      </c>
      <c r="D261" t="s">
        <v>29</v>
      </c>
      <c r="E261" s="6">
        <v>16629.86</v>
      </c>
      <c r="F261" t="s">
        <v>11</v>
      </c>
      <c r="G261" t="s">
        <v>770</v>
      </c>
      <c r="H261" t="s">
        <v>771</v>
      </c>
      <c r="I261" s="116">
        <f>INT(tblTransactions[[#This Row],[TransactionDate]])</f>
        <v>46251</v>
      </c>
      <c r="J261" t="str">
        <f>IF(tblTransactions[[#This Row],[ApprovalID]]="", "R2 - Missing Approval Reference", "")</f>
        <v/>
      </c>
      <c r="K261" t="str">
        <f>IF(AND(tblTransactions[[#This Row],[ApprovalID]]&lt;&gt;"",COUNTIFS(tblApprovals[TransactionID],tblTransactions[[#This Row],[TransactionID]],tblApprovals[ApprovalID],tblTransactions[[#This Row],[ApprovalID]])=0),"R3 - Missing or Mismatched Approval Record", "")</f>
        <v/>
      </c>
      <c r="L26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1" t="str">
        <f>IF(AND(tblTransactions[[#This Row],[TransactionStatus]]="Success",COUNTIF(tblSettlement[TransactionID],tblTransactions[[#This Row],[TransactionID]])=0)," R5 - Successful Transaction Not Settled", "")</f>
        <v/>
      </c>
      <c r="N261" t="str">
        <f>IF(AND(COUNTIF(tblSettlement[TransactionID],tblTransactions[[#This Row],[TransactionID]])&gt;0,tblTransactions[[#This Row],[Amount]]&lt;&gt;SUMIF(tblSettlement[TransactionID],tblTransactions[[#This Row],[TransactionID]],tblSettlement[SettledAmount]))," R6 - Settlement Amount Mismatch", "")</f>
        <v/>
      </c>
      <c r="O261" t="str">
        <f>IF(AND(tblTransactions[[#This Row],[CustomerRef]] &lt;&gt;"",COUNTIFS(tblTransactions[CustomerRef],tblTransactions[[#This Row],[CustomerRef]],tblTransactions[Amount],tblTransactions[[#This Row],[Amount]],tblTransactions[Date],tblTransactions[[#This Row],[Date]])&gt;1),"Yes","No")</f>
        <v>No</v>
      </c>
    </row>
    <row r="262" spans="1:15" x14ac:dyDescent="0.3">
      <c r="A262" t="s">
        <v>772</v>
      </c>
      <c r="B262" s="2">
        <v>46257.815972222219</v>
      </c>
      <c r="C262" t="s">
        <v>28</v>
      </c>
      <c r="D262" t="s">
        <v>69</v>
      </c>
      <c r="E262" s="6">
        <v>68481.570000000007</v>
      </c>
      <c r="F262" t="s">
        <v>11</v>
      </c>
      <c r="G262" t="s">
        <v>773</v>
      </c>
      <c r="H262" t="s">
        <v>774</v>
      </c>
      <c r="I262" s="116">
        <f>INT(tblTransactions[[#This Row],[TransactionDate]])</f>
        <v>46257</v>
      </c>
      <c r="J262" t="str">
        <f>IF(tblTransactions[[#This Row],[ApprovalID]]="", "R2 - Missing Approval Reference", "")</f>
        <v/>
      </c>
      <c r="K262" t="str">
        <f>IF(AND(tblTransactions[[#This Row],[ApprovalID]]&lt;&gt;"",COUNTIFS(tblApprovals[TransactionID],tblTransactions[[#This Row],[TransactionID]],tblApprovals[ApprovalID],tblTransactions[[#This Row],[ApprovalID]])=0),"R3 - Missing or Mismatched Approval Record", "")</f>
        <v/>
      </c>
      <c r="L26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2" t="str">
        <f>IF(AND(tblTransactions[[#This Row],[TransactionStatus]]="Success",COUNTIF(tblSettlement[TransactionID],tblTransactions[[#This Row],[TransactionID]])=0)," R5 - Successful Transaction Not Settled", "")</f>
        <v/>
      </c>
      <c r="N262" t="str">
        <f>IF(AND(COUNTIF(tblSettlement[TransactionID],tblTransactions[[#This Row],[TransactionID]])&gt;0,tblTransactions[[#This Row],[Amount]]&lt;&gt;SUMIF(tblSettlement[TransactionID],tblTransactions[[#This Row],[TransactionID]],tblSettlement[SettledAmount]))," R6 - Settlement Amount Mismatch", "")</f>
        <v/>
      </c>
      <c r="O262" t="str">
        <f>IF(AND(tblTransactions[[#This Row],[CustomerRef]] &lt;&gt;"",COUNTIFS(tblTransactions[CustomerRef],tblTransactions[[#This Row],[CustomerRef]],tblTransactions[Amount],tblTransactions[[#This Row],[Amount]],tblTransactions[Date],tblTransactions[[#This Row],[Date]])&gt;1),"Yes","No")</f>
        <v>No</v>
      </c>
    </row>
    <row r="263" spans="1:15" x14ac:dyDescent="0.3">
      <c r="A263" t="s">
        <v>775</v>
      </c>
      <c r="B263" s="2">
        <v>46271.647916666669</v>
      </c>
      <c r="C263" t="s">
        <v>19</v>
      </c>
      <c r="D263" t="s">
        <v>10</v>
      </c>
      <c r="E263" s="6">
        <v>52856.52</v>
      </c>
      <c r="F263" t="s">
        <v>11</v>
      </c>
      <c r="H263" t="s">
        <v>776</v>
      </c>
      <c r="I263" s="116">
        <f>INT(tblTransactions[[#This Row],[TransactionDate]])</f>
        <v>46271</v>
      </c>
      <c r="J263" t="str">
        <f>IF(tblTransactions[[#This Row],[ApprovalID]]="", "R2 - Missing Approval Reference", "")</f>
        <v>R2 - Missing Approval Reference</v>
      </c>
      <c r="K263" t="str">
        <f>IF(AND(tblTransactions[[#This Row],[ApprovalID]]&lt;&gt;"",COUNTIFS(tblApprovals[TransactionID],tblTransactions[[#This Row],[TransactionID]],tblApprovals[ApprovalID],tblTransactions[[#This Row],[ApprovalID]])=0),"R3 - Missing or Mismatched Approval Record", "")</f>
        <v/>
      </c>
      <c r="L26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3" t="str">
        <f>IF(AND(tblTransactions[[#This Row],[TransactionStatus]]="Success",COUNTIF(tblSettlement[TransactionID],tblTransactions[[#This Row],[TransactionID]])=0)," R5 - Successful Transaction Not Settled", "")</f>
        <v/>
      </c>
      <c r="N263" t="str">
        <f>IF(AND(COUNTIF(tblSettlement[TransactionID],tblTransactions[[#This Row],[TransactionID]])&gt;0,tblTransactions[[#This Row],[Amount]]&lt;&gt;SUMIF(tblSettlement[TransactionID],tblTransactions[[#This Row],[TransactionID]],tblSettlement[SettledAmount]))," R6 - Settlement Amount Mismatch", "")</f>
        <v/>
      </c>
      <c r="O263" t="str">
        <f>IF(AND(tblTransactions[[#This Row],[CustomerRef]] &lt;&gt;"",COUNTIFS(tblTransactions[CustomerRef],tblTransactions[[#This Row],[CustomerRef]],tblTransactions[Amount],tblTransactions[[#This Row],[Amount]],tblTransactions[Date],tblTransactions[[#This Row],[Date]])&gt;1),"Yes","No")</f>
        <v>No</v>
      </c>
    </row>
    <row r="264" spans="1:15" x14ac:dyDescent="0.3">
      <c r="A264" t="s">
        <v>777</v>
      </c>
      <c r="B264" s="2">
        <v>46268.48333333333</v>
      </c>
      <c r="C264" t="s">
        <v>19</v>
      </c>
      <c r="D264" t="s">
        <v>29</v>
      </c>
      <c r="E264" s="6">
        <v>40365.35</v>
      </c>
      <c r="F264" t="s">
        <v>11</v>
      </c>
      <c r="G264" t="s">
        <v>778</v>
      </c>
      <c r="H264" t="s">
        <v>779</v>
      </c>
      <c r="I264" s="116">
        <f>INT(tblTransactions[[#This Row],[TransactionDate]])</f>
        <v>46268</v>
      </c>
      <c r="J264" t="str">
        <f>IF(tblTransactions[[#This Row],[ApprovalID]]="", "R2 - Missing Approval Reference", "")</f>
        <v/>
      </c>
      <c r="K264" t="str">
        <f>IF(AND(tblTransactions[[#This Row],[ApprovalID]]&lt;&gt;"",COUNTIFS(tblApprovals[TransactionID],tblTransactions[[#This Row],[TransactionID]],tblApprovals[ApprovalID],tblTransactions[[#This Row],[ApprovalID]])=0),"R3 - Missing or Mismatched Approval Record", "")</f>
        <v/>
      </c>
      <c r="L26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4" t="str">
        <f>IF(AND(tblTransactions[[#This Row],[TransactionStatus]]="Success",COUNTIF(tblSettlement[TransactionID],tblTransactions[[#This Row],[TransactionID]])=0)," R5 - Successful Transaction Not Settled", "")</f>
        <v/>
      </c>
      <c r="N264" t="str">
        <f>IF(AND(COUNTIF(tblSettlement[TransactionID],tblTransactions[[#This Row],[TransactionID]])&gt;0,tblTransactions[[#This Row],[Amount]]&lt;&gt;SUMIF(tblSettlement[TransactionID],tblTransactions[[#This Row],[TransactionID]],tblSettlement[SettledAmount]))," R6 - Settlement Amount Mismatch", "")</f>
        <v/>
      </c>
      <c r="O264" t="str">
        <f>IF(AND(tblTransactions[[#This Row],[CustomerRef]] &lt;&gt;"",COUNTIFS(tblTransactions[CustomerRef],tblTransactions[[#This Row],[CustomerRef]],tblTransactions[Amount],tblTransactions[[#This Row],[Amount]],tblTransactions[Date],tblTransactions[[#This Row],[Date]])&gt;1),"Yes","No")</f>
        <v>No</v>
      </c>
    </row>
    <row r="265" spans="1:15" x14ac:dyDescent="0.3">
      <c r="A265" t="s">
        <v>780</v>
      </c>
      <c r="B265" s="2">
        <v>46295.729861111111</v>
      </c>
      <c r="C265" t="s">
        <v>47</v>
      </c>
      <c r="D265" t="s">
        <v>29</v>
      </c>
      <c r="E265" s="6">
        <v>7047.89</v>
      </c>
      <c r="F265" t="s">
        <v>11</v>
      </c>
      <c r="G265" t="s">
        <v>781</v>
      </c>
      <c r="H265" t="s">
        <v>782</v>
      </c>
      <c r="I265" s="116">
        <f>INT(tblTransactions[[#This Row],[TransactionDate]])</f>
        <v>46295</v>
      </c>
      <c r="J265" t="str">
        <f>IF(tblTransactions[[#This Row],[ApprovalID]]="", "R2 - Missing Approval Reference", "")</f>
        <v/>
      </c>
      <c r="K265" t="str">
        <f>IF(AND(tblTransactions[[#This Row],[ApprovalID]]&lt;&gt;"",COUNTIFS(tblApprovals[TransactionID],tblTransactions[[#This Row],[TransactionID]],tblApprovals[ApprovalID],tblTransactions[[#This Row],[ApprovalID]])=0),"R3 - Missing or Mismatched Approval Record", "")</f>
        <v/>
      </c>
      <c r="L26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5" t="str">
        <f>IF(AND(tblTransactions[[#This Row],[TransactionStatus]]="Success",COUNTIF(tblSettlement[TransactionID],tblTransactions[[#This Row],[TransactionID]])=0)," R5 - Successful Transaction Not Settled", "")</f>
        <v/>
      </c>
      <c r="N265" t="str">
        <f>IF(AND(COUNTIF(tblSettlement[TransactionID],tblTransactions[[#This Row],[TransactionID]])&gt;0,tblTransactions[[#This Row],[Amount]]&lt;&gt;SUMIF(tblSettlement[TransactionID],tblTransactions[[#This Row],[TransactionID]],tblSettlement[SettledAmount]))," R6 - Settlement Amount Mismatch", "")</f>
        <v/>
      </c>
      <c r="O265" t="str">
        <f>IF(AND(tblTransactions[[#This Row],[CustomerRef]] &lt;&gt;"",COUNTIFS(tblTransactions[CustomerRef],tblTransactions[[#This Row],[CustomerRef]],tblTransactions[Amount],tblTransactions[[#This Row],[Amount]],tblTransactions[Date],tblTransactions[[#This Row],[Date]])&gt;1),"Yes","No")</f>
        <v>No</v>
      </c>
    </row>
    <row r="266" spans="1:15" x14ac:dyDescent="0.3">
      <c r="A266" t="s">
        <v>783</v>
      </c>
      <c r="B266" s="2">
        <v>46262.710416666669</v>
      </c>
      <c r="C266" t="s">
        <v>24</v>
      </c>
      <c r="D266" t="s">
        <v>10</v>
      </c>
      <c r="E266" s="6">
        <v>42020.09</v>
      </c>
      <c r="F266" t="s">
        <v>11</v>
      </c>
      <c r="G266" t="s">
        <v>784</v>
      </c>
      <c r="H266" t="s">
        <v>785</v>
      </c>
      <c r="I266" s="116">
        <f>INT(tblTransactions[[#This Row],[TransactionDate]])</f>
        <v>46262</v>
      </c>
      <c r="J266" t="str">
        <f>IF(tblTransactions[[#This Row],[ApprovalID]]="", "R2 - Missing Approval Reference", "")</f>
        <v/>
      </c>
      <c r="K266" t="str">
        <f>IF(AND(tblTransactions[[#This Row],[ApprovalID]]&lt;&gt;"",COUNTIFS(tblApprovals[TransactionID],tblTransactions[[#This Row],[TransactionID]],tblApprovals[ApprovalID],tblTransactions[[#This Row],[ApprovalID]])=0),"R3 - Missing or Mismatched Approval Record", "")</f>
        <v/>
      </c>
      <c r="L26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6" t="str">
        <f>IF(AND(tblTransactions[[#This Row],[TransactionStatus]]="Success",COUNTIF(tblSettlement[TransactionID],tblTransactions[[#This Row],[TransactionID]])=0)," R5 - Successful Transaction Not Settled", "")</f>
        <v xml:space="preserve"> R5 - Successful Transaction Not Settled</v>
      </c>
      <c r="N266" t="str">
        <f>IF(AND(COUNTIF(tblSettlement[TransactionID],tblTransactions[[#This Row],[TransactionID]])&gt;0,tblTransactions[[#This Row],[Amount]]&lt;&gt;SUMIF(tblSettlement[TransactionID],tblTransactions[[#This Row],[TransactionID]],tblSettlement[SettledAmount]))," R6 - Settlement Amount Mismatch", "")</f>
        <v/>
      </c>
      <c r="O266" t="str">
        <f>IF(AND(tblTransactions[[#This Row],[CustomerRef]] &lt;&gt;"",COUNTIFS(tblTransactions[CustomerRef],tblTransactions[[#This Row],[CustomerRef]],tblTransactions[Amount],tblTransactions[[#This Row],[Amount]],tblTransactions[Date],tblTransactions[[#This Row],[Date]])&gt;1),"Yes","No")</f>
        <v>No</v>
      </c>
    </row>
    <row r="267" spans="1:15" x14ac:dyDescent="0.3">
      <c r="A267" t="s">
        <v>786</v>
      </c>
      <c r="B267" s="2">
        <v>46231.711111111108</v>
      </c>
      <c r="C267" t="s">
        <v>47</v>
      </c>
      <c r="D267" t="s">
        <v>15</v>
      </c>
      <c r="E267" s="6">
        <v>3635.41</v>
      </c>
      <c r="F267" t="s">
        <v>11</v>
      </c>
      <c r="G267" t="s">
        <v>787</v>
      </c>
      <c r="H267" t="s">
        <v>788</v>
      </c>
      <c r="I267" s="116">
        <f>INT(tblTransactions[[#This Row],[TransactionDate]])</f>
        <v>46231</v>
      </c>
      <c r="J267" t="str">
        <f>IF(tblTransactions[[#This Row],[ApprovalID]]="", "R2 - Missing Approval Reference", "")</f>
        <v/>
      </c>
      <c r="K267" t="str">
        <f>IF(AND(tblTransactions[[#This Row],[ApprovalID]]&lt;&gt;"",COUNTIFS(tblApprovals[TransactionID],tblTransactions[[#This Row],[TransactionID]],tblApprovals[ApprovalID],tblTransactions[[#This Row],[ApprovalID]])=0),"R3 - Missing or Mismatched Approval Record", "")</f>
        <v/>
      </c>
      <c r="L26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7" t="str">
        <f>IF(AND(tblTransactions[[#This Row],[TransactionStatus]]="Success",COUNTIF(tblSettlement[TransactionID],tblTransactions[[#This Row],[TransactionID]])=0)," R5 - Successful Transaction Not Settled", "")</f>
        <v/>
      </c>
      <c r="N267" t="str">
        <f>IF(AND(COUNTIF(tblSettlement[TransactionID],tblTransactions[[#This Row],[TransactionID]])&gt;0,tblTransactions[[#This Row],[Amount]]&lt;&gt;SUMIF(tblSettlement[TransactionID],tblTransactions[[#This Row],[TransactionID]],tblSettlement[SettledAmount]))," R6 - Settlement Amount Mismatch", "")</f>
        <v/>
      </c>
      <c r="O267" t="str">
        <f>IF(AND(tblTransactions[[#This Row],[CustomerRef]] &lt;&gt;"",COUNTIFS(tblTransactions[CustomerRef],tblTransactions[[#This Row],[CustomerRef]],tblTransactions[Amount],tblTransactions[[#This Row],[Amount]],tblTransactions[Date],tblTransactions[[#This Row],[Date]])&gt;1),"Yes","No")</f>
        <v>No</v>
      </c>
    </row>
    <row r="268" spans="1:15" x14ac:dyDescent="0.3">
      <c r="A268" t="s">
        <v>789</v>
      </c>
      <c r="B268" s="2">
        <v>46264.345833333333</v>
      </c>
      <c r="C268" t="s">
        <v>28</v>
      </c>
      <c r="D268" t="s">
        <v>29</v>
      </c>
      <c r="E268" s="6">
        <v>30812.799999999999</v>
      </c>
      <c r="F268" t="s">
        <v>11</v>
      </c>
      <c r="G268" t="s">
        <v>790</v>
      </c>
      <c r="H268" t="s">
        <v>791</v>
      </c>
      <c r="I268" s="116">
        <f>INT(tblTransactions[[#This Row],[TransactionDate]])</f>
        <v>46264</v>
      </c>
      <c r="J268" t="str">
        <f>IF(tblTransactions[[#This Row],[ApprovalID]]="", "R2 - Missing Approval Reference", "")</f>
        <v/>
      </c>
      <c r="K268" t="str">
        <f>IF(AND(tblTransactions[[#This Row],[ApprovalID]]&lt;&gt;"",COUNTIFS(tblApprovals[TransactionID],tblTransactions[[#This Row],[TransactionID]],tblApprovals[ApprovalID],tblTransactions[[#This Row],[ApprovalID]])=0),"R3 - Missing or Mismatched Approval Record", "")</f>
        <v/>
      </c>
      <c r="L26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8" t="str">
        <f>IF(AND(tblTransactions[[#This Row],[TransactionStatus]]="Success",COUNTIF(tblSettlement[TransactionID],tblTransactions[[#This Row],[TransactionID]])=0)," R5 - Successful Transaction Not Settled", "")</f>
        <v/>
      </c>
      <c r="N268" t="str">
        <f>IF(AND(COUNTIF(tblSettlement[TransactionID],tblTransactions[[#This Row],[TransactionID]])&gt;0,tblTransactions[[#This Row],[Amount]]&lt;&gt;SUMIF(tblSettlement[TransactionID],tblTransactions[[#This Row],[TransactionID]],tblSettlement[SettledAmount]))," R6 - Settlement Amount Mismatch", "")</f>
        <v/>
      </c>
      <c r="O268" t="str">
        <f>IF(AND(tblTransactions[[#This Row],[CustomerRef]] &lt;&gt;"",COUNTIFS(tblTransactions[CustomerRef],tblTransactions[[#This Row],[CustomerRef]],tblTransactions[Amount],tblTransactions[[#This Row],[Amount]],tblTransactions[Date],tblTransactions[[#This Row],[Date]])&gt;1),"Yes","No")</f>
        <v>No</v>
      </c>
    </row>
    <row r="269" spans="1:15" x14ac:dyDescent="0.3">
      <c r="A269" t="s">
        <v>792</v>
      </c>
      <c r="B269" s="2">
        <v>46261.915277777778</v>
      </c>
      <c r="C269" t="s">
        <v>28</v>
      </c>
      <c r="D269" t="s">
        <v>15</v>
      </c>
      <c r="E269" s="6">
        <v>68030.86</v>
      </c>
      <c r="F269" t="s">
        <v>11</v>
      </c>
      <c r="G269" t="s">
        <v>793</v>
      </c>
      <c r="H269" t="s">
        <v>794</v>
      </c>
      <c r="I269" s="116">
        <f>INT(tblTransactions[[#This Row],[TransactionDate]])</f>
        <v>46261</v>
      </c>
      <c r="J269" t="str">
        <f>IF(tblTransactions[[#This Row],[ApprovalID]]="", "R2 - Missing Approval Reference", "")</f>
        <v/>
      </c>
      <c r="K269" t="str">
        <f>IF(AND(tblTransactions[[#This Row],[ApprovalID]]&lt;&gt;"",COUNTIFS(tblApprovals[TransactionID],tblTransactions[[#This Row],[TransactionID]],tblApprovals[ApprovalID],tblTransactions[[#This Row],[ApprovalID]])=0),"R3 - Missing or Mismatched Approval Record", "")</f>
        <v/>
      </c>
      <c r="L26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69" t="str">
        <f>IF(AND(tblTransactions[[#This Row],[TransactionStatus]]="Success",COUNTIF(tblSettlement[TransactionID],tblTransactions[[#This Row],[TransactionID]])=0)," R5 - Successful Transaction Not Settled", "")</f>
        <v/>
      </c>
      <c r="N269" t="str">
        <f>IF(AND(COUNTIF(tblSettlement[TransactionID],tblTransactions[[#This Row],[TransactionID]])&gt;0,tblTransactions[[#This Row],[Amount]]&lt;&gt;SUMIF(tblSettlement[TransactionID],tblTransactions[[#This Row],[TransactionID]],tblSettlement[SettledAmount]))," R6 - Settlement Amount Mismatch", "")</f>
        <v/>
      </c>
      <c r="O269" t="str">
        <f>IF(AND(tblTransactions[[#This Row],[CustomerRef]] &lt;&gt;"",COUNTIFS(tblTransactions[CustomerRef],tblTransactions[[#This Row],[CustomerRef]],tblTransactions[Amount],tblTransactions[[#This Row],[Amount]],tblTransactions[Date],tblTransactions[[#This Row],[Date]])&gt;1),"Yes","No")</f>
        <v>No</v>
      </c>
    </row>
    <row r="270" spans="1:15" x14ac:dyDescent="0.3">
      <c r="A270" t="s">
        <v>795</v>
      </c>
      <c r="B270" s="2">
        <v>46219.44027777778</v>
      </c>
      <c r="C270" t="s">
        <v>9</v>
      </c>
      <c r="D270" t="s">
        <v>10</v>
      </c>
      <c r="E270" s="6">
        <v>29631.13</v>
      </c>
      <c r="F270" t="s">
        <v>11</v>
      </c>
      <c r="G270" t="s">
        <v>796</v>
      </c>
      <c r="H270" t="s">
        <v>797</v>
      </c>
      <c r="I270" s="116">
        <f>INT(tblTransactions[[#This Row],[TransactionDate]])</f>
        <v>46219</v>
      </c>
      <c r="J270" t="str">
        <f>IF(tblTransactions[[#This Row],[ApprovalID]]="", "R2 - Missing Approval Reference", "")</f>
        <v/>
      </c>
      <c r="K270" t="str">
        <f>IF(AND(tblTransactions[[#This Row],[ApprovalID]]&lt;&gt;"",COUNTIFS(tblApprovals[TransactionID],tblTransactions[[#This Row],[TransactionID]],tblApprovals[ApprovalID],tblTransactions[[#This Row],[ApprovalID]])=0),"R3 - Missing or Mismatched Approval Record", "")</f>
        <v/>
      </c>
      <c r="L27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0" t="str">
        <f>IF(AND(tblTransactions[[#This Row],[TransactionStatus]]="Success",COUNTIF(tblSettlement[TransactionID],tblTransactions[[#This Row],[TransactionID]])=0)," R5 - Successful Transaction Not Settled", "")</f>
        <v/>
      </c>
      <c r="N270" t="str">
        <f>IF(AND(COUNTIF(tblSettlement[TransactionID],tblTransactions[[#This Row],[TransactionID]])&gt;0,tblTransactions[[#This Row],[Amount]]&lt;&gt;SUMIF(tblSettlement[TransactionID],tblTransactions[[#This Row],[TransactionID]],tblSettlement[SettledAmount]))," R6 - Settlement Amount Mismatch", "")</f>
        <v/>
      </c>
      <c r="O270" t="str">
        <f>IF(AND(tblTransactions[[#This Row],[CustomerRef]] &lt;&gt;"",COUNTIFS(tblTransactions[CustomerRef],tblTransactions[[#This Row],[CustomerRef]],tblTransactions[Amount],tblTransactions[[#This Row],[Amount]],tblTransactions[Date],tblTransactions[[#This Row],[Date]])&gt;1),"Yes","No")</f>
        <v>No</v>
      </c>
    </row>
    <row r="271" spans="1:15" x14ac:dyDescent="0.3">
      <c r="A271" t="s">
        <v>798</v>
      </c>
      <c r="B271" s="2">
        <v>46263.781944444447</v>
      </c>
      <c r="C271" t="s">
        <v>9</v>
      </c>
      <c r="D271" t="s">
        <v>69</v>
      </c>
      <c r="E271" s="6">
        <v>40947.29</v>
      </c>
      <c r="F271" t="s">
        <v>11</v>
      </c>
      <c r="G271" t="s">
        <v>799</v>
      </c>
      <c r="H271" t="s">
        <v>800</v>
      </c>
      <c r="I271" s="116">
        <f>INT(tblTransactions[[#This Row],[TransactionDate]])</f>
        <v>46263</v>
      </c>
      <c r="J271" t="str">
        <f>IF(tblTransactions[[#This Row],[ApprovalID]]="", "R2 - Missing Approval Reference", "")</f>
        <v/>
      </c>
      <c r="K271" t="str">
        <f>IF(AND(tblTransactions[[#This Row],[ApprovalID]]&lt;&gt;"",COUNTIFS(tblApprovals[TransactionID],tblTransactions[[#This Row],[TransactionID]],tblApprovals[ApprovalID],tblTransactions[[#This Row],[ApprovalID]])=0),"R3 - Missing or Mismatched Approval Record", "")</f>
        <v/>
      </c>
      <c r="L27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1" t="str">
        <f>IF(AND(tblTransactions[[#This Row],[TransactionStatus]]="Success",COUNTIF(tblSettlement[TransactionID],tblTransactions[[#This Row],[TransactionID]])=0)," R5 - Successful Transaction Not Settled", "")</f>
        <v/>
      </c>
      <c r="N271" t="str">
        <f>IF(AND(COUNTIF(tblSettlement[TransactionID],tblTransactions[[#This Row],[TransactionID]])&gt;0,tblTransactions[[#This Row],[Amount]]&lt;&gt;SUMIF(tblSettlement[TransactionID],tblTransactions[[#This Row],[TransactionID]],tblSettlement[SettledAmount]))," R6 - Settlement Amount Mismatch", "")</f>
        <v/>
      </c>
      <c r="O271" t="str">
        <f>IF(AND(tblTransactions[[#This Row],[CustomerRef]] &lt;&gt;"",COUNTIFS(tblTransactions[CustomerRef],tblTransactions[[#This Row],[CustomerRef]],tblTransactions[Amount],tblTransactions[[#This Row],[Amount]],tblTransactions[Date],tblTransactions[[#This Row],[Date]])&gt;1),"Yes","No")</f>
        <v>No</v>
      </c>
    </row>
    <row r="272" spans="1:15" x14ac:dyDescent="0.3">
      <c r="A272" t="s">
        <v>801</v>
      </c>
      <c r="B272" s="2">
        <v>46239.499305555553</v>
      </c>
      <c r="C272" t="s">
        <v>47</v>
      </c>
      <c r="D272" t="s">
        <v>29</v>
      </c>
      <c r="E272" s="6">
        <v>65671.81</v>
      </c>
      <c r="F272" t="s">
        <v>11</v>
      </c>
      <c r="G272" t="s">
        <v>802</v>
      </c>
      <c r="H272" t="s">
        <v>803</v>
      </c>
      <c r="I272" s="116">
        <f>INT(tblTransactions[[#This Row],[TransactionDate]])</f>
        <v>46239</v>
      </c>
      <c r="J272" t="str">
        <f>IF(tblTransactions[[#This Row],[ApprovalID]]="", "R2 - Missing Approval Reference", "")</f>
        <v/>
      </c>
      <c r="K272" t="str">
        <f>IF(AND(tblTransactions[[#This Row],[ApprovalID]]&lt;&gt;"",COUNTIFS(tblApprovals[TransactionID],tblTransactions[[#This Row],[TransactionID]],tblApprovals[ApprovalID],tblTransactions[[#This Row],[ApprovalID]])=0),"R3 - Missing or Mismatched Approval Record", "")</f>
        <v/>
      </c>
      <c r="L27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2" t="str">
        <f>IF(AND(tblTransactions[[#This Row],[TransactionStatus]]="Success",COUNTIF(tblSettlement[TransactionID],tblTransactions[[#This Row],[TransactionID]])=0)," R5 - Successful Transaction Not Settled", "")</f>
        <v/>
      </c>
      <c r="N272" t="str">
        <f>IF(AND(COUNTIF(tblSettlement[TransactionID],tblTransactions[[#This Row],[TransactionID]])&gt;0,tblTransactions[[#This Row],[Amount]]&lt;&gt;SUMIF(tblSettlement[TransactionID],tblTransactions[[#This Row],[TransactionID]],tblSettlement[SettledAmount]))," R6 - Settlement Amount Mismatch", "")</f>
        <v/>
      </c>
      <c r="O272" t="str">
        <f>IF(AND(tblTransactions[[#This Row],[CustomerRef]] &lt;&gt;"",COUNTIFS(tblTransactions[CustomerRef],tblTransactions[[#This Row],[CustomerRef]],tblTransactions[Amount],tblTransactions[[#This Row],[Amount]],tblTransactions[Date],tblTransactions[[#This Row],[Date]])&gt;1),"Yes","No")</f>
        <v>No</v>
      </c>
    </row>
    <row r="273" spans="1:15" x14ac:dyDescent="0.3">
      <c r="A273" t="s">
        <v>804</v>
      </c>
      <c r="B273" s="2">
        <v>46234.461111111108</v>
      </c>
      <c r="C273" t="s">
        <v>19</v>
      </c>
      <c r="D273" t="s">
        <v>10</v>
      </c>
      <c r="E273" s="6">
        <v>7792.03</v>
      </c>
      <c r="F273" t="s">
        <v>11</v>
      </c>
      <c r="G273" t="s">
        <v>805</v>
      </c>
      <c r="H273" t="s">
        <v>806</v>
      </c>
      <c r="I273" s="116">
        <f>INT(tblTransactions[[#This Row],[TransactionDate]])</f>
        <v>46234</v>
      </c>
      <c r="J273" t="str">
        <f>IF(tblTransactions[[#This Row],[ApprovalID]]="", "R2 - Missing Approval Reference", "")</f>
        <v/>
      </c>
      <c r="K273" t="str">
        <f>IF(AND(tblTransactions[[#This Row],[ApprovalID]]&lt;&gt;"",COUNTIFS(tblApprovals[TransactionID],tblTransactions[[#This Row],[TransactionID]],tblApprovals[ApprovalID],tblTransactions[[#This Row],[ApprovalID]])=0),"R3 - Missing or Mismatched Approval Record", "")</f>
        <v/>
      </c>
      <c r="L27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3" t="str">
        <f>IF(AND(tblTransactions[[#This Row],[TransactionStatus]]="Success",COUNTIF(tblSettlement[TransactionID],tblTransactions[[#This Row],[TransactionID]])=0)," R5 - Successful Transaction Not Settled", "")</f>
        <v/>
      </c>
      <c r="N273" t="str">
        <f>IF(AND(COUNTIF(tblSettlement[TransactionID],tblTransactions[[#This Row],[TransactionID]])&gt;0,tblTransactions[[#This Row],[Amount]]&lt;&gt;SUMIF(tblSettlement[TransactionID],tblTransactions[[#This Row],[TransactionID]],tblSettlement[SettledAmount]))," R6 - Settlement Amount Mismatch", "")</f>
        <v/>
      </c>
      <c r="O273" t="str">
        <f>IF(AND(tblTransactions[[#This Row],[CustomerRef]] &lt;&gt;"",COUNTIFS(tblTransactions[CustomerRef],tblTransactions[[#This Row],[CustomerRef]],tblTransactions[Amount],tblTransactions[[#This Row],[Amount]],tblTransactions[Date],tblTransactions[[#This Row],[Date]])&gt;1),"Yes","No")</f>
        <v>No</v>
      </c>
    </row>
    <row r="274" spans="1:15" x14ac:dyDescent="0.3">
      <c r="A274" t="s">
        <v>807</v>
      </c>
      <c r="B274" s="2">
        <v>46255.634722222225</v>
      </c>
      <c r="C274" t="s">
        <v>47</v>
      </c>
      <c r="D274" t="s">
        <v>69</v>
      </c>
      <c r="E274" s="6">
        <v>40597.050000000003</v>
      </c>
      <c r="F274" t="s">
        <v>11</v>
      </c>
      <c r="G274" t="s">
        <v>808</v>
      </c>
      <c r="H274" t="s">
        <v>809</v>
      </c>
      <c r="I274" s="116">
        <f>INT(tblTransactions[[#This Row],[TransactionDate]])</f>
        <v>46255</v>
      </c>
      <c r="J274" t="str">
        <f>IF(tblTransactions[[#This Row],[ApprovalID]]="", "R2 - Missing Approval Reference", "")</f>
        <v/>
      </c>
      <c r="K274" t="str">
        <f>IF(AND(tblTransactions[[#This Row],[ApprovalID]]&lt;&gt;"",COUNTIFS(tblApprovals[TransactionID],tblTransactions[[#This Row],[TransactionID]],tblApprovals[ApprovalID],tblTransactions[[#This Row],[ApprovalID]])=0),"R3 - Missing or Mismatched Approval Record", "")</f>
        <v/>
      </c>
      <c r="L27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4" t="str">
        <f>IF(AND(tblTransactions[[#This Row],[TransactionStatus]]="Success",COUNTIF(tblSettlement[TransactionID],tblTransactions[[#This Row],[TransactionID]])=0)," R5 - Successful Transaction Not Settled", "")</f>
        <v/>
      </c>
      <c r="N274" t="str">
        <f>IF(AND(COUNTIF(tblSettlement[TransactionID],tblTransactions[[#This Row],[TransactionID]])&gt;0,tblTransactions[[#This Row],[Amount]]&lt;&gt;SUMIF(tblSettlement[TransactionID],tblTransactions[[#This Row],[TransactionID]],tblSettlement[SettledAmount]))," R6 - Settlement Amount Mismatch", "")</f>
        <v/>
      </c>
      <c r="O274" t="str">
        <f>IF(AND(tblTransactions[[#This Row],[CustomerRef]] &lt;&gt;"",COUNTIFS(tblTransactions[CustomerRef],tblTransactions[[#This Row],[CustomerRef]],tblTransactions[Amount],tblTransactions[[#This Row],[Amount]],tblTransactions[Date],tblTransactions[[#This Row],[Date]])&gt;1),"Yes","No")</f>
        <v>No</v>
      </c>
    </row>
    <row r="275" spans="1:15" x14ac:dyDescent="0.3">
      <c r="A275" t="s">
        <v>810</v>
      </c>
      <c r="B275" s="2">
        <v>46233.915277777778</v>
      </c>
      <c r="C275" t="s">
        <v>19</v>
      </c>
      <c r="D275" t="s">
        <v>20</v>
      </c>
      <c r="E275" s="6">
        <v>54930.93</v>
      </c>
      <c r="F275" t="s">
        <v>11</v>
      </c>
      <c r="G275" t="s">
        <v>811</v>
      </c>
      <c r="H275" t="s">
        <v>812</v>
      </c>
      <c r="I275" s="116">
        <f>INT(tblTransactions[[#This Row],[TransactionDate]])</f>
        <v>46233</v>
      </c>
      <c r="J275" t="str">
        <f>IF(tblTransactions[[#This Row],[ApprovalID]]="", "R2 - Missing Approval Reference", "")</f>
        <v/>
      </c>
      <c r="K275" t="str">
        <f>IF(AND(tblTransactions[[#This Row],[ApprovalID]]&lt;&gt;"",COUNTIFS(tblApprovals[TransactionID],tblTransactions[[#This Row],[TransactionID]],tblApprovals[ApprovalID],tblTransactions[[#This Row],[ApprovalID]])=0),"R3 - Missing or Mismatched Approval Record", "")</f>
        <v/>
      </c>
      <c r="L27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5" t="str">
        <f>IF(AND(tblTransactions[[#This Row],[TransactionStatus]]="Success",COUNTIF(tblSettlement[TransactionID],tblTransactions[[#This Row],[TransactionID]])=0)," R5 - Successful Transaction Not Settled", "")</f>
        <v/>
      </c>
      <c r="N275" t="str">
        <f>IF(AND(COUNTIF(tblSettlement[TransactionID],tblTransactions[[#This Row],[TransactionID]])&gt;0,tblTransactions[[#This Row],[Amount]]&lt;&gt;SUMIF(tblSettlement[TransactionID],tblTransactions[[#This Row],[TransactionID]],tblSettlement[SettledAmount]))," R6 - Settlement Amount Mismatch", "")</f>
        <v/>
      </c>
      <c r="O275" t="str">
        <f>IF(AND(tblTransactions[[#This Row],[CustomerRef]] &lt;&gt;"",COUNTIFS(tblTransactions[CustomerRef],tblTransactions[[#This Row],[CustomerRef]],tblTransactions[Amount],tblTransactions[[#This Row],[Amount]],tblTransactions[Date],tblTransactions[[#This Row],[Date]])&gt;1),"Yes","No")</f>
        <v>No</v>
      </c>
    </row>
    <row r="276" spans="1:15" x14ac:dyDescent="0.3">
      <c r="A276" t="s">
        <v>813</v>
      </c>
      <c r="B276" s="2">
        <v>46288.676388888889</v>
      </c>
      <c r="C276" t="s">
        <v>19</v>
      </c>
      <c r="D276" t="s">
        <v>15</v>
      </c>
      <c r="E276" s="6">
        <v>31163.63</v>
      </c>
      <c r="F276" t="s">
        <v>11</v>
      </c>
      <c r="G276" t="s">
        <v>814</v>
      </c>
      <c r="H276" t="s">
        <v>815</v>
      </c>
      <c r="I276" s="116">
        <f>INT(tblTransactions[[#This Row],[TransactionDate]])</f>
        <v>46288</v>
      </c>
      <c r="J276" t="str">
        <f>IF(tblTransactions[[#This Row],[ApprovalID]]="", "R2 - Missing Approval Reference", "")</f>
        <v/>
      </c>
      <c r="K276" t="str">
        <f>IF(AND(tblTransactions[[#This Row],[ApprovalID]]&lt;&gt;"",COUNTIFS(tblApprovals[TransactionID],tblTransactions[[#This Row],[TransactionID]],tblApprovals[ApprovalID],tblTransactions[[#This Row],[ApprovalID]])=0),"R3 - Missing or Mismatched Approval Record", "")</f>
        <v/>
      </c>
      <c r="L27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276" t="str">
        <f>IF(AND(tblTransactions[[#This Row],[TransactionStatus]]="Success",COUNTIF(tblSettlement[TransactionID],tblTransactions[[#This Row],[TransactionID]])=0)," R5 - Successful Transaction Not Settled", "")</f>
        <v/>
      </c>
      <c r="N276" t="str">
        <f>IF(AND(COUNTIF(tblSettlement[TransactionID],tblTransactions[[#This Row],[TransactionID]])&gt;0,tblTransactions[[#This Row],[Amount]]&lt;&gt;SUMIF(tblSettlement[TransactionID],tblTransactions[[#This Row],[TransactionID]],tblSettlement[SettledAmount]))," R6 - Settlement Amount Mismatch", "")</f>
        <v/>
      </c>
      <c r="O276" t="str">
        <f>IF(AND(tblTransactions[[#This Row],[CustomerRef]] &lt;&gt;"",COUNTIFS(tblTransactions[CustomerRef],tblTransactions[[#This Row],[CustomerRef]],tblTransactions[Amount],tblTransactions[[#This Row],[Amount]],tblTransactions[Date],tblTransactions[[#This Row],[Date]])&gt;1),"Yes","No")</f>
        <v>No</v>
      </c>
    </row>
    <row r="277" spans="1:15" x14ac:dyDescent="0.3">
      <c r="A277" t="s">
        <v>816</v>
      </c>
      <c r="B277" s="2">
        <v>46284.768750000003</v>
      </c>
      <c r="C277" t="s">
        <v>24</v>
      </c>
      <c r="D277" t="s">
        <v>29</v>
      </c>
      <c r="E277" s="6">
        <v>41799.839999999997</v>
      </c>
      <c r="F277" t="s">
        <v>11</v>
      </c>
      <c r="G277" t="s">
        <v>817</v>
      </c>
      <c r="H277" t="s">
        <v>818</v>
      </c>
      <c r="I277" s="116">
        <f>INT(tblTransactions[[#This Row],[TransactionDate]])</f>
        <v>46284</v>
      </c>
      <c r="J277" t="str">
        <f>IF(tblTransactions[[#This Row],[ApprovalID]]="", "R2 - Missing Approval Reference", "")</f>
        <v/>
      </c>
      <c r="K277" t="str">
        <f>IF(AND(tblTransactions[[#This Row],[ApprovalID]]&lt;&gt;"",COUNTIFS(tblApprovals[TransactionID],tblTransactions[[#This Row],[TransactionID]],tblApprovals[ApprovalID],tblTransactions[[#This Row],[ApprovalID]])=0),"R3 - Missing or Mismatched Approval Record", "")</f>
        <v/>
      </c>
      <c r="L27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7" t="str">
        <f>IF(AND(tblTransactions[[#This Row],[TransactionStatus]]="Success",COUNTIF(tblSettlement[TransactionID],tblTransactions[[#This Row],[TransactionID]])=0)," R5 - Successful Transaction Not Settled", "")</f>
        <v/>
      </c>
      <c r="N277" t="str">
        <f>IF(AND(COUNTIF(tblSettlement[TransactionID],tblTransactions[[#This Row],[TransactionID]])&gt;0,tblTransactions[[#This Row],[Amount]]&lt;&gt;SUMIF(tblSettlement[TransactionID],tblTransactions[[#This Row],[TransactionID]],tblSettlement[SettledAmount]))," R6 - Settlement Amount Mismatch", "")</f>
        <v/>
      </c>
      <c r="O277" t="str">
        <f>IF(AND(tblTransactions[[#This Row],[CustomerRef]] &lt;&gt;"",COUNTIFS(tblTransactions[CustomerRef],tblTransactions[[#This Row],[CustomerRef]],tblTransactions[Amount],tblTransactions[[#This Row],[Amount]],tblTransactions[Date],tblTransactions[[#This Row],[Date]])&gt;1),"Yes","No")</f>
        <v>No</v>
      </c>
    </row>
    <row r="278" spans="1:15" x14ac:dyDescent="0.3">
      <c r="A278" t="s">
        <v>819</v>
      </c>
      <c r="B278" s="2">
        <v>46293.601388888892</v>
      </c>
      <c r="C278" t="s">
        <v>19</v>
      </c>
      <c r="D278" t="s">
        <v>29</v>
      </c>
      <c r="E278" s="6">
        <v>11404.02</v>
      </c>
      <c r="F278" t="s">
        <v>11</v>
      </c>
      <c r="G278" t="s">
        <v>820</v>
      </c>
      <c r="H278" t="s">
        <v>821</v>
      </c>
      <c r="I278" s="116">
        <f>INT(tblTransactions[[#This Row],[TransactionDate]])</f>
        <v>46293</v>
      </c>
      <c r="J278" t="str">
        <f>IF(tblTransactions[[#This Row],[ApprovalID]]="", "R2 - Missing Approval Reference", "")</f>
        <v/>
      </c>
      <c r="K278" t="str">
        <f>IF(AND(tblTransactions[[#This Row],[ApprovalID]]&lt;&gt;"",COUNTIFS(tblApprovals[TransactionID],tblTransactions[[#This Row],[TransactionID]],tblApprovals[ApprovalID],tblTransactions[[#This Row],[ApprovalID]])=0),"R3 - Missing or Mismatched Approval Record", "")</f>
        <v/>
      </c>
      <c r="L27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8" t="str">
        <f>IF(AND(tblTransactions[[#This Row],[TransactionStatus]]="Success",COUNTIF(tblSettlement[TransactionID],tblTransactions[[#This Row],[TransactionID]])=0)," R5 - Successful Transaction Not Settled", "")</f>
        <v/>
      </c>
      <c r="N278" t="str">
        <f>IF(AND(COUNTIF(tblSettlement[TransactionID],tblTransactions[[#This Row],[TransactionID]])&gt;0,tblTransactions[[#This Row],[Amount]]&lt;&gt;SUMIF(tblSettlement[TransactionID],tblTransactions[[#This Row],[TransactionID]],tblSettlement[SettledAmount]))," R6 - Settlement Amount Mismatch", "")</f>
        <v/>
      </c>
      <c r="O278" t="str">
        <f>IF(AND(tblTransactions[[#This Row],[CustomerRef]] &lt;&gt;"",COUNTIFS(tblTransactions[CustomerRef],tblTransactions[[#This Row],[CustomerRef]],tblTransactions[Amount],tblTransactions[[#This Row],[Amount]],tblTransactions[Date],tblTransactions[[#This Row],[Date]])&gt;1),"Yes","No")</f>
        <v>No</v>
      </c>
    </row>
    <row r="279" spans="1:15" x14ac:dyDescent="0.3">
      <c r="A279" t="s">
        <v>822</v>
      </c>
      <c r="B279" s="2">
        <v>46242.90625</v>
      </c>
      <c r="C279" t="s">
        <v>47</v>
      </c>
      <c r="D279" t="s">
        <v>15</v>
      </c>
      <c r="E279" s="6">
        <v>11040.29</v>
      </c>
      <c r="F279" t="s">
        <v>11</v>
      </c>
      <c r="G279" t="s">
        <v>823</v>
      </c>
      <c r="H279" t="s">
        <v>824</v>
      </c>
      <c r="I279" s="116">
        <f>INT(tblTransactions[[#This Row],[TransactionDate]])</f>
        <v>46242</v>
      </c>
      <c r="J279" t="str">
        <f>IF(tblTransactions[[#This Row],[ApprovalID]]="", "R2 - Missing Approval Reference", "")</f>
        <v/>
      </c>
      <c r="K279" t="str">
        <f>IF(AND(tblTransactions[[#This Row],[ApprovalID]]&lt;&gt;"",COUNTIFS(tblApprovals[TransactionID],tblTransactions[[#This Row],[TransactionID]],tblApprovals[ApprovalID],tblTransactions[[#This Row],[ApprovalID]])=0),"R3 - Missing or Mismatched Approval Record", "")</f>
        <v/>
      </c>
      <c r="L27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79" t="str">
        <f>IF(AND(tblTransactions[[#This Row],[TransactionStatus]]="Success",COUNTIF(tblSettlement[TransactionID],tblTransactions[[#This Row],[TransactionID]])=0)," R5 - Successful Transaction Not Settled", "")</f>
        <v/>
      </c>
      <c r="N279" t="str">
        <f>IF(AND(COUNTIF(tblSettlement[TransactionID],tblTransactions[[#This Row],[TransactionID]])&gt;0,tblTransactions[[#This Row],[Amount]]&lt;&gt;SUMIF(tblSettlement[TransactionID],tblTransactions[[#This Row],[TransactionID]],tblSettlement[SettledAmount]))," R6 - Settlement Amount Mismatch", "")</f>
        <v/>
      </c>
      <c r="O279" t="str">
        <f>IF(AND(tblTransactions[[#This Row],[CustomerRef]] &lt;&gt;"",COUNTIFS(tblTransactions[CustomerRef],tblTransactions[[#This Row],[CustomerRef]],tblTransactions[Amount],tblTransactions[[#This Row],[Amount]],tblTransactions[Date],tblTransactions[[#This Row],[Date]])&gt;1),"Yes","No")</f>
        <v>No</v>
      </c>
    </row>
    <row r="280" spans="1:15" x14ac:dyDescent="0.3">
      <c r="A280" t="s">
        <v>825</v>
      </c>
      <c r="B280" s="2">
        <v>46275.672222222223</v>
      </c>
      <c r="C280" t="s">
        <v>24</v>
      </c>
      <c r="D280" t="s">
        <v>10</v>
      </c>
      <c r="E280" s="6">
        <v>29284.32</v>
      </c>
      <c r="F280" t="s">
        <v>11</v>
      </c>
      <c r="G280" t="s">
        <v>826</v>
      </c>
      <c r="H280" t="s">
        <v>827</v>
      </c>
      <c r="I280" s="116">
        <f>INT(tblTransactions[[#This Row],[TransactionDate]])</f>
        <v>46275</v>
      </c>
      <c r="J280" t="str">
        <f>IF(tblTransactions[[#This Row],[ApprovalID]]="", "R2 - Missing Approval Reference", "")</f>
        <v/>
      </c>
      <c r="K280" t="str">
        <f>IF(AND(tblTransactions[[#This Row],[ApprovalID]]&lt;&gt;"",COUNTIFS(tblApprovals[TransactionID],tblTransactions[[#This Row],[TransactionID]],tblApprovals[ApprovalID],tblTransactions[[#This Row],[ApprovalID]])=0),"R3 - Missing or Mismatched Approval Record", "")</f>
        <v/>
      </c>
      <c r="L28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0" t="str">
        <f>IF(AND(tblTransactions[[#This Row],[TransactionStatus]]="Success",COUNTIF(tblSettlement[TransactionID],tblTransactions[[#This Row],[TransactionID]])=0)," R5 - Successful Transaction Not Settled", "")</f>
        <v/>
      </c>
      <c r="N280"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280" t="str">
        <f>IF(AND(tblTransactions[[#This Row],[CustomerRef]] &lt;&gt;"",COUNTIFS(tblTransactions[CustomerRef],tblTransactions[[#This Row],[CustomerRef]],tblTransactions[Amount],tblTransactions[[#This Row],[Amount]],tblTransactions[Date],tblTransactions[[#This Row],[Date]])&gt;1),"Yes","No")</f>
        <v>No</v>
      </c>
    </row>
    <row r="281" spans="1:15" x14ac:dyDescent="0.3">
      <c r="A281" t="s">
        <v>828</v>
      </c>
      <c r="B281" s="2">
        <v>46215.698611111111</v>
      </c>
      <c r="C281" t="s">
        <v>43</v>
      </c>
      <c r="D281" t="s">
        <v>15</v>
      </c>
      <c r="E281" s="6">
        <v>62248.12</v>
      </c>
      <c r="F281" t="s">
        <v>11</v>
      </c>
      <c r="G281" t="s">
        <v>829</v>
      </c>
      <c r="H281" t="s">
        <v>830</v>
      </c>
      <c r="I281" s="116">
        <f>INT(tblTransactions[[#This Row],[TransactionDate]])</f>
        <v>46215</v>
      </c>
      <c r="J281" t="str">
        <f>IF(tblTransactions[[#This Row],[ApprovalID]]="", "R2 - Missing Approval Reference", "")</f>
        <v/>
      </c>
      <c r="K281" t="str">
        <f>IF(AND(tblTransactions[[#This Row],[ApprovalID]]&lt;&gt;"",COUNTIFS(tblApprovals[TransactionID],tblTransactions[[#This Row],[TransactionID]],tblApprovals[ApprovalID],tblTransactions[[#This Row],[ApprovalID]])=0),"R3 - Missing or Mismatched Approval Record", "")</f>
        <v/>
      </c>
      <c r="L28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1" t="str">
        <f>IF(AND(tblTransactions[[#This Row],[TransactionStatus]]="Success",COUNTIF(tblSettlement[TransactionID],tblTransactions[[#This Row],[TransactionID]])=0)," R5 - Successful Transaction Not Settled", "")</f>
        <v/>
      </c>
      <c r="N281" t="str">
        <f>IF(AND(COUNTIF(tblSettlement[TransactionID],tblTransactions[[#This Row],[TransactionID]])&gt;0,tblTransactions[[#This Row],[Amount]]&lt;&gt;SUMIF(tblSettlement[TransactionID],tblTransactions[[#This Row],[TransactionID]],tblSettlement[SettledAmount]))," R6 - Settlement Amount Mismatch", "")</f>
        <v/>
      </c>
      <c r="O281" t="str">
        <f>IF(AND(tblTransactions[[#This Row],[CustomerRef]] &lt;&gt;"",COUNTIFS(tblTransactions[CustomerRef],tblTransactions[[#This Row],[CustomerRef]],tblTransactions[Amount],tblTransactions[[#This Row],[Amount]],tblTransactions[Date],tblTransactions[[#This Row],[Date]])&gt;1),"Yes","No")</f>
        <v>No</v>
      </c>
    </row>
    <row r="282" spans="1:15" x14ac:dyDescent="0.3">
      <c r="A282" t="s">
        <v>831</v>
      </c>
      <c r="B282" s="2">
        <v>46228.866666666669</v>
      </c>
      <c r="C282" t="s">
        <v>9</v>
      </c>
      <c r="D282" t="s">
        <v>29</v>
      </c>
      <c r="E282" s="6">
        <v>44171.88</v>
      </c>
      <c r="F282" t="s">
        <v>11</v>
      </c>
      <c r="G282" t="s">
        <v>832</v>
      </c>
      <c r="H282" t="s">
        <v>833</v>
      </c>
      <c r="I282" s="116">
        <f>INT(tblTransactions[[#This Row],[TransactionDate]])</f>
        <v>46228</v>
      </c>
      <c r="J282" t="str">
        <f>IF(tblTransactions[[#This Row],[ApprovalID]]="", "R2 - Missing Approval Reference", "")</f>
        <v/>
      </c>
      <c r="K282" t="str">
        <f>IF(AND(tblTransactions[[#This Row],[ApprovalID]]&lt;&gt;"",COUNTIFS(tblApprovals[TransactionID],tblTransactions[[#This Row],[TransactionID]],tblApprovals[ApprovalID],tblTransactions[[#This Row],[ApprovalID]])=0),"R3 - Missing or Mismatched Approval Record", "")</f>
        <v/>
      </c>
      <c r="L28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2" t="str">
        <f>IF(AND(tblTransactions[[#This Row],[TransactionStatus]]="Success",COUNTIF(tblSettlement[TransactionID],tblTransactions[[#This Row],[TransactionID]])=0)," R5 - Successful Transaction Not Settled", "")</f>
        <v/>
      </c>
      <c r="N282" t="str">
        <f>IF(AND(COUNTIF(tblSettlement[TransactionID],tblTransactions[[#This Row],[TransactionID]])&gt;0,tblTransactions[[#This Row],[Amount]]&lt;&gt;SUMIF(tblSettlement[TransactionID],tblTransactions[[#This Row],[TransactionID]],tblSettlement[SettledAmount]))," R6 - Settlement Amount Mismatch", "")</f>
        <v/>
      </c>
      <c r="O282" t="str">
        <f>IF(AND(tblTransactions[[#This Row],[CustomerRef]] &lt;&gt;"",COUNTIFS(tblTransactions[CustomerRef],tblTransactions[[#This Row],[CustomerRef]],tblTransactions[Amount],tblTransactions[[#This Row],[Amount]],tblTransactions[Date],tblTransactions[[#This Row],[Date]])&gt;1),"Yes","No")</f>
        <v>No</v>
      </c>
    </row>
    <row r="283" spans="1:15" x14ac:dyDescent="0.3">
      <c r="A283" t="s">
        <v>834</v>
      </c>
      <c r="B283" s="2">
        <v>46242.916666666664</v>
      </c>
      <c r="C283" t="s">
        <v>28</v>
      </c>
      <c r="D283" t="s">
        <v>10</v>
      </c>
      <c r="E283" s="6">
        <v>16082.63</v>
      </c>
      <c r="F283" t="s">
        <v>11</v>
      </c>
      <c r="G283" t="s">
        <v>835</v>
      </c>
      <c r="H283" t="s">
        <v>836</v>
      </c>
      <c r="I283" s="116">
        <f>INT(tblTransactions[[#This Row],[TransactionDate]])</f>
        <v>46242</v>
      </c>
      <c r="J283" t="str">
        <f>IF(tblTransactions[[#This Row],[ApprovalID]]="", "R2 - Missing Approval Reference", "")</f>
        <v/>
      </c>
      <c r="K283" t="str">
        <f>IF(AND(tblTransactions[[#This Row],[ApprovalID]]&lt;&gt;"",COUNTIFS(tblApprovals[TransactionID],tblTransactions[[#This Row],[TransactionID]],tblApprovals[ApprovalID],tblTransactions[[#This Row],[ApprovalID]])=0),"R3 - Missing or Mismatched Approval Record", "")</f>
        <v/>
      </c>
      <c r="L28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3" t="str">
        <f>IF(AND(tblTransactions[[#This Row],[TransactionStatus]]="Success",COUNTIF(tblSettlement[TransactionID],tblTransactions[[#This Row],[TransactionID]])=0)," R5 - Successful Transaction Not Settled", "")</f>
        <v/>
      </c>
      <c r="N283" t="str">
        <f>IF(AND(COUNTIF(tblSettlement[TransactionID],tblTransactions[[#This Row],[TransactionID]])&gt;0,tblTransactions[[#This Row],[Amount]]&lt;&gt;SUMIF(tblSettlement[TransactionID],tblTransactions[[#This Row],[TransactionID]],tblSettlement[SettledAmount]))," R6 - Settlement Amount Mismatch", "")</f>
        <v/>
      </c>
      <c r="O283" t="str">
        <f>IF(AND(tblTransactions[[#This Row],[CustomerRef]] &lt;&gt;"",COUNTIFS(tblTransactions[CustomerRef],tblTransactions[[#This Row],[CustomerRef]],tblTransactions[Amount],tblTransactions[[#This Row],[Amount]],tblTransactions[Date],tblTransactions[[#This Row],[Date]])&gt;1),"Yes","No")</f>
        <v>No</v>
      </c>
    </row>
    <row r="284" spans="1:15" x14ac:dyDescent="0.3">
      <c r="A284" t="s">
        <v>837</v>
      </c>
      <c r="B284" s="2">
        <v>46235.818055555559</v>
      </c>
      <c r="C284" t="s">
        <v>9</v>
      </c>
      <c r="D284" t="s">
        <v>15</v>
      </c>
      <c r="E284" s="6">
        <v>52856.7</v>
      </c>
      <c r="F284" t="s">
        <v>11</v>
      </c>
      <c r="G284" t="s">
        <v>838</v>
      </c>
      <c r="H284" t="s">
        <v>839</v>
      </c>
      <c r="I284" s="116">
        <f>INT(tblTransactions[[#This Row],[TransactionDate]])</f>
        <v>46235</v>
      </c>
      <c r="J284" t="str">
        <f>IF(tblTransactions[[#This Row],[ApprovalID]]="", "R2 - Missing Approval Reference", "")</f>
        <v/>
      </c>
      <c r="K284" t="str">
        <f>IF(AND(tblTransactions[[#This Row],[ApprovalID]]&lt;&gt;"",COUNTIFS(tblApprovals[TransactionID],tblTransactions[[#This Row],[TransactionID]],tblApprovals[ApprovalID],tblTransactions[[#This Row],[ApprovalID]])=0),"R3 - Missing or Mismatched Approval Record", "")</f>
        <v/>
      </c>
      <c r="L28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284" t="str">
        <f>IF(AND(tblTransactions[[#This Row],[TransactionStatus]]="Success",COUNTIF(tblSettlement[TransactionID],tblTransactions[[#This Row],[TransactionID]])=0)," R5 - Successful Transaction Not Settled", "")</f>
        <v/>
      </c>
      <c r="N284" t="str">
        <f>IF(AND(COUNTIF(tblSettlement[TransactionID],tblTransactions[[#This Row],[TransactionID]])&gt;0,tblTransactions[[#This Row],[Amount]]&lt;&gt;SUMIF(tblSettlement[TransactionID],tblTransactions[[#This Row],[TransactionID]],tblSettlement[SettledAmount]))," R6 - Settlement Amount Mismatch", "")</f>
        <v/>
      </c>
      <c r="O284" t="str">
        <f>IF(AND(tblTransactions[[#This Row],[CustomerRef]] &lt;&gt;"",COUNTIFS(tblTransactions[CustomerRef],tblTransactions[[#This Row],[CustomerRef]],tblTransactions[Amount],tblTransactions[[#This Row],[Amount]],tblTransactions[Date],tblTransactions[[#This Row],[Date]])&gt;1),"Yes","No")</f>
        <v>No</v>
      </c>
    </row>
    <row r="285" spans="1:15" x14ac:dyDescent="0.3">
      <c r="A285" t="s">
        <v>840</v>
      </c>
      <c r="B285" s="2">
        <v>46252.648611111108</v>
      </c>
      <c r="C285" t="s">
        <v>24</v>
      </c>
      <c r="D285" t="s">
        <v>15</v>
      </c>
      <c r="E285" s="6">
        <v>48741.919999999998</v>
      </c>
      <c r="F285" t="s">
        <v>11</v>
      </c>
      <c r="G285" t="s">
        <v>841</v>
      </c>
      <c r="H285" t="s">
        <v>842</v>
      </c>
      <c r="I285" s="116">
        <f>INT(tblTransactions[[#This Row],[TransactionDate]])</f>
        <v>46252</v>
      </c>
      <c r="J285" t="str">
        <f>IF(tblTransactions[[#This Row],[ApprovalID]]="", "R2 - Missing Approval Reference", "")</f>
        <v/>
      </c>
      <c r="K285" t="str">
        <f>IF(AND(tblTransactions[[#This Row],[ApprovalID]]&lt;&gt;"",COUNTIFS(tblApprovals[TransactionID],tblTransactions[[#This Row],[TransactionID]],tblApprovals[ApprovalID],tblTransactions[[#This Row],[ApprovalID]])=0),"R3 - Missing or Mismatched Approval Record", "")</f>
        <v/>
      </c>
      <c r="L28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5" t="str">
        <f>IF(AND(tblTransactions[[#This Row],[TransactionStatus]]="Success",COUNTIF(tblSettlement[TransactionID],tblTransactions[[#This Row],[TransactionID]])=0)," R5 - Successful Transaction Not Settled", "")</f>
        <v/>
      </c>
      <c r="N285" t="str">
        <f>IF(AND(COUNTIF(tblSettlement[TransactionID],tblTransactions[[#This Row],[TransactionID]])&gt;0,tblTransactions[[#This Row],[Amount]]&lt;&gt;SUMIF(tblSettlement[TransactionID],tblTransactions[[#This Row],[TransactionID]],tblSettlement[SettledAmount]))," R6 - Settlement Amount Mismatch", "")</f>
        <v/>
      </c>
      <c r="O285" t="str">
        <f>IF(AND(tblTransactions[[#This Row],[CustomerRef]] &lt;&gt;"",COUNTIFS(tblTransactions[CustomerRef],tblTransactions[[#This Row],[CustomerRef]],tblTransactions[Amount],tblTransactions[[#This Row],[Amount]],tblTransactions[Date],tblTransactions[[#This Row],[Date]])&gt;1),"Yes","No")</f>
        <v>No</v>
      </c>
    </row>
    <row r="286" spans="1:15" x14ac:dyDescent="0.3">
      <c r="A286" t="s">
        <v>843</v>
      </c>
      <c r="B286" s="2">
        <v>46216.865277777775</v>
      </c>
      <c r="C286" t="s">
        <v>9</v>
      </c>
      <c r="D286" t="s">
        <v>20</v>
      </c>
      <c r="E286" s="6">
        <v>35344.410000000003</v>
      </c>
      <c r="F286" t="s">
        <v>11</v>
      </c>
      <c r="G286" t="s">
        <v>844</v>
      </c>
      <c r="H286" t="s">
        <v>845</v>
      </c>
      <c r="I286" s="116">
        <f>INT(tblTransactions[[#This Row],[TransactionDate]])</f>
        <v>46216</v>
      </c>
      <c r="J286" t="str">
        <f>IF(tblTransactions[[#This Row],[ApprovalID]]="", "R2 - Missing Approval Reference", "")</f>
        <v/>
      </c>
      <c r="K286" t="str">
        <f>IF(AND(tblTransactions[[#This Row],[ApprovalID]]&lt;&gt;"",COUNTIFS(tblApprovals[TransactionID],tblTransactions[[#This Row],[TransactionID]],tblApprovals[ApprovalID],tblTransactions[[#This Row],[ApprovalID]])=0),"R3 - Missing or Mismatched Approval Record", "")</f>
        <v/>
      </c>
      <c r="L28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6" t="str">
        <f>IF(AND(tblTransactions[[#This Row],[TransactionStatus]]="Success",COUNTIF(tblSettlement[TransactionID],tblTransactions[[#This Row],[TransactionID]])=0)," R5 - Successful Transaction Not Settled", "")</f>
        <v/>
      </c>
      <c r="N286" t="str">
        <f>IF(AND(COUNTIF(tblSettlement[TransactionID],tblTransactions[[#This Row],[TransactionID]])&gt;0,tblTransactions[[#This Row],[Amount]]&lt;&gt;SUMIF(tblSettlement[TransactionID],tblTransactions[[#This Row],[TransactionID]],tblSettlement[SettledAmount]))," R6 - Settlement Amount Mismatch", "")</f>
        <v/>
      </c>
      <c r="O286" t="str">
        <f>IF(AND(tblTransactions[[#This Row],[CustomerRef]] &lt;&gt;"",COUNTIFS(tblTransactions[CustomerRef],tblTransactions[[#This Row],[CustomerRef]],tblTransactions[Amount],tblTransactions[[#This Row],[Amount]],tblTransactions[Date],tblTransactions[[#This Row],[Date]])&gt;1),"Yes","No")</f>
        <v>No</v>
      </c>
    </row>
    <row r="287" spans="1:15" x14ac:dyDescent="0.3">
      <c r="A287" t="s">
        <v>846</v>
      </c>
      <c r="B287" s="2">
        <v>46276.884722222225</v>
      </c>
      <c r="C287" t="s">
        <v>19</v>
      </c>
      <c r="D287" t="s">
        <v>15</v>
      </c>
      <c r="E287" s="6">
        <v>55658.62</v>
      </c>
      <c r="F287" t="s">
        <v>11</v>
      </c>
      <c r="G287" t="s">
        <v>847</v>
      </c>
      <c r="H287" t="s">
        <v>848</v>
      </c>
      <c r="I287" s="116">
        <f>INT(tblTransactions[[#This Row],[TransactionDate]])</f>
        <v>46276</v>
      </c>
      <c r="J287" t="str">
        <f>IF(tblTransactions[[#This Row],[ApprovalID]]="", "R2 - Missing Approval Reference", "")</f>
        <v/>
      </c>
      <c r="K287" t="str">
        <f>IF(AND(tblTransactions[[#This Row],[ApprovalID]]&lt;&gt;"",COUNTIFS(tblApprovals[TransactionID],tblTransactions[[#This Row],[TransactionID]],tblApprovals[ApprovalID],tblTransactions[[#This Row],[ApprovalID]])=0),"R3 - Missing or Mismatched Approval Record", "")</f>
        <v/>
      </c>
      <c r="L28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7" t="str">
        <f>IF(AND(tblTransactions[[#This Row],[TransactionStatus]]="Success",COUNTIF(tblSettlement[TransactionID],tblTransactions[[#This Row],[TransactionID]])=0)," R5 - Successful Transaction Not Settled", "")</f>
        <v/>
      </c>
      <c r="N287" t="str">
        <f>IF(AND(COUNTIF(tblSettlement[TransactionID],tblTransactions[[#This Row],[TransactionID]])&gt;0,tblTransactions[[#This Row],[Amount]]&lt;&gt;SUMIF(tblSettlement[TransactionID],tblTransactions[[#This Row],[TransactionID]],tblSettlement[SettledAmount]))," R6 - Settlement Amount Mismatch", "")</f>
        <v/>
      </c>
      <c r="O287" t="str">
        <f>IF(AND(tblTransactions[[#This Row],[CustomerRef]] &lt;&gt;"",COUNTIFS(tblTransactions[CustomerRef],tblTransactions[[#This Row],[CustomerRef]],tblTransactions[Amount],tblTransactions[[#This Row],[Amount]],tblTransactions[Date],tblTransactions[[#This Row],[Date]])&gt;1),"Yes","No")</f>
        <v>No</v>
      </c>
    </row>
    <row r="288" spans="1:15" x14ac:dyDescent="0.3">
      <c r="A288" t="s">
        <v>849</v>
      </c>
      <c r="B288" s="2">
        <v>46241.425000000003</v>
      </c>
      <c r="C288" t="s">
        <v>9</v>
      </c>
      <c r="D288" t="s">
        <v>29</v>
      </c>
      <c r="E288" s="6">
        <v>24907.43</v>
      </c>
      <c r="F288" t="s">
        <v>11</v>
      </c>
      <c r="G288" t="s">
        <v>850</v>
      </c>
      <c r="H288" t="s">
        <v>851</v>
      </c>
      <c r="I288" s="116">
        <f>INT(tblTransactions[[#This Row],[TransactionDate]])</f>
        <v>46241</v>
      </c>
      <c r="J288" t="str">
        <f>IF(tblTransactions[[#This Row],[ApprovalID]]="", "R2 - Missing Approval Reference", "")</f>
        <v/>
      </c>
      <c r="K288" t="str">
        <f>IF(AND(tblTransactions[[#This Row],[ApprovalID]]&lt;&gt;"",COUNTIFS(tblApprovals[TransactionID],tblTransactions[[#This Row],[TransactionID]],tblApprovals[ApprovalID],tblTransactions[[#This Row],[ApprovalID]])=0),"R3 - Missing or Mismatched Approval Record", "")</f>
        <v/>
      </c>
      <c r="L28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8" t="str">
        <f>IF(AND(tblTransactions[[#This Row],[TransactionStatus]]="Success",COUNTIF(tblSettlement[TransactionID],tblTransactions[[#This Row],[TransactionID]])=0)," R5 - Successful Transaction Not Settled", "")</f>
        <v/>
      </c>
      <c r="N288" t="str">
        <f>IF(AND(COUNTIF(tblSettlement[TransactionID],tblTransactions[[#This Row],[TransactionID]])&gt;0,tblTransactions[[#This Row],[Amount]]&lt;&gt;SUMIF(tblSettlement[TransactionID],tblTransactions[[#This Row],[TransactionID]],tblSettlement[SettledAmount]))," R6 - Settlement Amount Mismatch", "")</f>
        <v/>
      </c>
      <c r="O288" t="str">
        <f>IF(AND(tblTransactions[[#This Row],[CustomerRef]] &lt;&gt;"",COUNTIFS(tblTransactions[CustomerRef],tblTransactions[[#This Row],[CustomerRef]],tblTransactions[Amount],tblTransactions[[#This Row],[Amount]],tblTransactions[Date],tblTransactions[[#This Row],[Date]])&gt;1),"Yes","No")</f>
        <v>No</v>
      </c>
    </row>
    <row r="289" spans="1:15" x14ac:dyDescent="0.3">
      <c r="A289" t="s">
        <v>852</v>
      </c>
      <c r="B289" s="2">
        <v>46236.869444444441</v>
      </c>
      <c r="C289" t="s">
        <v>28</v>
      </c>
      <c r="D289" t="s">
        <v>29</v>
      </c>
      <c r="E289" s="6">
        <v>36774.43</v>
      </c>
      <c r="F289" t="s">
        <v>11</v>
      </c>
      <c r="G289" t="s">
        <v>853</v>
      </c>
      <c r="H289" t="s">
        <v>854</v>
      </c>
      <c r="I289" s="116">
        <f>INT(tblTransactions[[#This Row],[TransactionDate]])</f>
        <v>46236</v>
      </c>
      <c r="J289" t="str">
        <f>IF(tblTransactions[[#This Row],[ApprovalID]]="", "R2 - Missing Approval Reference", "")</f>
        <v/>
      </c>
      <c r="K289" t="str">
        <f>IF(AND(tblTransactions[[#This Row],[ApprovalID]]&lt;&gt;"",COUNTIFS(tblApprovals[TransactionID],tblTransactions[[#This Row],[TransactionID]],tblApprovals[ApprovalID],tblTransactions[[#This Row],[ApprovalID]])=0),"R3 - Missing or Mismatched Approval Record", "")</f>
        <v/>
      </c>
      <c r="L28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89" t="str">
        <f>IF(AND(tblTransactions[[#This Row],[TransactionStatus]]="Success",COUNTIF(tblSettlement[TransactionID],tblTransactions[[#This Row],[TransactionID]])=0)," R5 - Successful Transaction Not Settled", "")</f>
        <v/>
      </c>
      <c r="N289" t="str">
        <f>IF(AND(COUNTIF(tblSettlement[TransactionID],tblTransactions[[#This Row],[TransactionID]])&gt;0,tblTransactions[[#This Row],[Amount]]&lt;&gt;SUMIF(tblSettlement[TransactionID],tblTransactions[[#This Row],[TransactionID]],tblSettlement[SettledAmount]))," R6 - Settlement Amount Mismatch", "")</f>
        <v/>
      </c>
      <c r="O289" t="str">
        <f>IF(AND(tblTransactions[[#This Row],[CustomerRef]] &lt;&gt;"",COUNTIFS(tblTransactions[CustomerRef],tblTransactions[[#This Row],[CustomerRef]],tblTransactions[Amount],tblTransactions[[#This Row],[Amount]],tblTransactions[Date],tblTransactions[[#This Row],[Date]])&gt;1),"Yes","No")</f>
        <v>No</v>
      </c>
    </row>
    <row r="290" spans="1:15" x14ac:dyDescent="0.3">
      <c r="A290" t="s">
        <v>855</v>
      </c>
      <c r="B290" s="2">
        <v>46225.448611111111</v>
      </c>
      <c r="C290" t="s">
        <v>19</v>
      </c>
      <c r="D290" t="s">
        <v>10</v>
      </c>
      <c r="E290" s="6">
        <v>41104.339999999997</v>
      </c>
      <c r="F290" t="s">
        <v>11</v>
      </c>
      <c r="G290" t="s">
        <v>856</v>
      </c>
      <c r="H290" t="s">
        <v>857</v>
      </c>
      <c r="I290" s="116">
        <f>INT(tblTransactions[[#This Row],[TransactionDate]])</f>
        <v>46225</v>
      </c>
      <c r="J290" t="str">
        <f>IF(tblTransactions[[#This Row],[ApprovalID]]="", "R2 - Missing Approval Reference", "")</f>
        <v/>
      </c>
      <c r="K290" t="str">
        <f>IF(AND(tblTransactions[[#This Row],[ApprovalID]]&lt;&gt;"",COUNTIFS(tblApprovals[TransactionID],tblTransactions[[#This Row],[TransactionID]],tblApprovals[ApprovalID],tblTransactions[[#This Row],[ApprovalID]])=0),"R3 - Missing or Mismatched Approval Record", "")</f>
        <v/>
      </c>
      <c r="L29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0" t="str">
        <f>IF(AND(tblTransactions[[#This Row],[TransactionStatus]]="Success",COUNTIF(tblSettlement[TransactionID],tblTransactions[[#This Row],[TransactionID]])=0)," R5 - Successful Transaction Not Settled", "")</f>
        <v/>
      </c>
      <c r="N290" t="str">
        <f>IF(AND(COUNTIF(tblSettlement[TransactionID],tblTransactions[[#This Row],[TransactionID]])&gt;0,tblTransactions[[#This Row],[Amount]]&lt;&gt;SUMIF(tblSettlement[TransactionID],tblTransactions[[#This Row],[TransactionID]],tblSettlement[SettledAmount]))," R6 - Settlement Amount Mismatch", "")</f>
        <v/>
      </c>
      <c r="O290" t="str">
        <f>IF(AND(tblTransactions[[#This Row],[CustomerRef]] &lt;&gt;"",COUNTIFS(tblTransactions[CustomerRef],tblTransactions[[#This Row],[CustomerRef]],tblTransactions[Amount],tblTransactions[[#This Row],[Amount]],tblTransactions[Date],tblTransactions[[#This Row],[Date]])&gt;1),"Yes","No")</f>
        <v>No</v>
      </c>
    </row>
    <row r="291" spans="1:15" x14ac:dyDescent="0.3">
      <c r="A291" t="s">
        <v>858</v>
      </c>
      <c r="B291" s="2">
        <v>46289.366666666669</v>
      </c>
      <c r="C291" t="s">
        <v>28</v>
      </c>
      <c r="D291" t="s">
        <v>69</v>
      </c>
      <c r="E291" s="6">
        <v>727.19</v>
      </c>
      <c r="F291" t="s">
        <v>11</v>
      </c>
      <c r="H291" t="s">
        <v>859</v>
      </c>
      <c r="I291" s="116">
        <f>INT(tblTransactions[[#This Row],[TransactionDate]])</f>
        <v>46289</v>
      </c>
      <c r="J291" t="str">
        <f>IF(tblTransactions[[#This Row],[ApprovalID]]="", "R2 - Missing Approval Reference", "")</f>
        <v>R2 - Missing Approval Reference</v>
      </c>
      <c r="K291" t="str">
        <f>IF(AND(tblTransactions[[#This Row],[ApprovalID]]&lt;&gt;"",COUNTIFS(tblApprovals[TransactionID],tblTransactions[[#This Row],[TransactionID]],tblApprovals[ApprovalID],tblTransactions[[#This Row],[ApprovalID]])=0),"R3 - Missing or Mismatched Approval Record", "")</f>
        <v/>
      </c>
      <c r="L29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1" t="str">
        <f>IF(AND(tblTransactions[[#This Row],[TransactionStatus]]="Success",COUNTIF(tblSettlement[TransactionID],tblTransactions[[#This Row],[TransactionID]])=0)," R5 - Successful Transaction Not Settled", "")</f>
        <v/>
      </c>
      <c r="N291" t="str">
        <f>IF(AND(COUNTIF(tblSettlement[TransactionID],tblTransactions[[#This Row],[TransactionID]])&gt;0,tblTransactions[[#This Row],[Amount]]&lt;&gt;SUMIF(tblSettlement[TransactionID],tblTransactions[[#This Row],[TransactionID]],tblSettlement[SettledAmount]))," R6 - Settlement Amount Mismatch", "")</f>
        <v/>
      </c>
      <c r="O291" t="str">
        <f>IF(AND(tblTransactions[[#This Row],[CustomerRef]] &lt;&gt;"",COUNTIFS(tblTransactions[CustomerRef],tblTransactions[[#This Row],[CustomerRef]],tblTransactions[Amount],tblTransactions[[#This Row],[Amount]],tblTransactions[Date],tblTransactions[[#This Row],[Date]])&gt;1),"Yes","No")</f>
        <v>No</v>
      </c>
    </row>
    <row r="292" spans="1:15" x14ac:dyDescent="0.3">
      <c r="A292" t="s">
        <v>860</v>
      </c>
      <c r="B292" s="2">
        <v>46205.480555555558</v>
      </c>
      <c r="C292" t="s">
        <v>28</v>
      </c>
      <c r="D292" t="s">
        <v>15</v>
      </c>
      <c r="E292" s="6">
        <v>34336.720000000001</v>
      </c>
      <c r="F292" t="s">
        <v>11</v>
      </c>
      <c r="G292" t="s">
        <v>861</v>
      </c>
      <c r="H292" t="s">
        <v>862</v>
      </c>
      <c r="I292" s="116">
        <f>INT(tblTransactions[[#This Row],[TransactionDate]])</f>
        <v>46205</v>
      </c>
      <c r="J292" t="str">
        <f>IF(tblTransactions[[#This Row],[ApprovalID]]="", "R2 - Missing Approval Reference", "")</f>
        <v/>
      </c>
      <c r="K292" t="str">
        <f>IF(AND(tblTransactions[[#This Row],[ApprovalID]]&lt;&gt;"",COUNTIFS(tblApprovals[TransactionID],tblTransactions[[#This Row],[TransactionID]],tblApprovals[ApprovalID],tblTransactions[[#This Row],[ApprovalID]])=0),"R3 - Missing or Mismatched Approval Record", "")</f>
        <v/>
      </c>
      <c r="L29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2" t="str">
        <f>IF(AND(tblTransactions[[#This Row],[TransactionStatus]]="Success",COUNTIF(tblSettlement[TransactionID],tblTransactions[[#This Row],[TransactionID]])=0)," R5 - Successful Transaction Not Settled", "")</f>
        <v/>
      </c>
      <c r="N292" t="str">
        <f>IF(AND(COUNTIF(tblSettlement[TransactionID],tblTransactions[[#This Row],[TransactionID]])&gt;0,tblTransactions[[#This Row],[Amount]]&lt;&gt;SUMIF(tblSettlement[TransactionID],tblTransactions[[#This Row],[TransactionID]],tblSettlement[SettledAmount]))," R6 - Settlement Amount Mismatch", "")</f>
        <v/>
      </c>
      <c r="O292" t="str">
        <f>IF(AND(tblTransactions[[#This Row],[CustomerRef]] &lt;&gt;"",COUNTIFS(tblTransactions[CustomerRef],tblTransactions[[#This Row],[CustomerRef]],tblTransactions[Amount],tblTransactions[[#This Row],[Amount]],tblTransactions[Date],tblTransactions[[#This Row],[Date]])&gt;1),"Yes","No")</f>
        <v>No</v>
      </c>
    </row>
    <row r="293" spans="1:15" x14ac:dyDescent="0.3">
      <c r="A293" t="s">
        <v>863</v>
      </c>
      <c r="B293" s="2">
        <v>46206.356944444444</v>
      </c>
      <c r="C293" t="s">
        <v>19</v>
      </c>
      <c r="D293" t="s">
        <v>20</v>
      </c>
      <c r="E293" s="6">
        <v>41485.360000000001</v>
      </c>
      <c r="F293" t="s">
        <v>11</v>
      </c>
      <c r="G293" t="s">
        <v>864</v>
      </c>
      <c r="H293" t="s">
        <v>865</v>
      </c>
      <c r="I293" s="116">
        <f>INT(tblTransactions[[#This Row],[TransactionDate]])</f>
        <v>46206</v>
      </c>
      <c r="J293" t="str">
        <f>IF(tblTransactions[[#This Row],[ApprovalID]]="", "R2 - Missing Approval Reference", "")</f>
        <v/>
      </c>
      <c r="K293" t="str">
        <f>IF(AND(tblTransactions[[#This Row],[ApprovalID]]&lt;&gt;"",COUNTIFS(tblApprovals[TransactionID],tblTransactions[[#This Row],[TransactionID]],tblApprovals[ApprovalID],tblTransactions[[#This Row],[ApprovalID]])=0),"R3 - Missing or Mismatched Approval Record", "")</f>
        <v/>
      </c>
      <c r="L29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3" t="str">
        <f>IF(AND(tblTransactions[[#This Row],[TransactionStatus]]="Success",COUNTIF(tblSettlement[TransactionID],tblTransactions[[#This Row],[TransactionID]])=0)," R5 - Successful Transaction Not Settled", "")</f>
        <v/>
      </c>
      <c r="N293" t="str">
        <f>IF(AND(COUNTIF(tblSettlement[TransactionID],tblTransactions[[#This Row],[TransactionID]])&gt;0,tblTransactions[[#This Row],[Amount]]&lt;&gt;SUMIF(tblSettlement[TransactionID],tblTransactions[[#This Row],[TransactionID]],tblSettlement[SettledAmount]))," R6 - Settlement Amount Mismatch", "")</f>
        <v/>
      </c>
      <c r="O293" t="str">
        <f>IF(AND(tblTransactions[[#This Row],[CustomerRef]] &lt;&gt;"",COUNTIFS(tblTransactions[CustomerRef],tblTransactions[[#This Row],[CustomerRef]],tblTransactions[Amount],tblTransactions[[#This Row],[Amount]],tblTransactions[Date],tblTransactions[[#This Row],[Date]])&gt;1),"Yes","No")</f>
        <v>No</v>
      </c>
    </row>
    <row r="294" spans="1:15" x14ac:dyDescent="0.3">
      <c r="A294" t="s">
        <v>866</v>
      </c>
      <c r="B294" s="2">
        <v>46206.702777777777</v>
      </c>
      <c r="C294" t="s">
        <v>9</v>
      </c>
      <c r="D294" t="s">
        <v>10</v>
      </c>
      <c r="E294" s="6">
        <v>52414.97</v>
      </c>
      <c r="F294" t="s">
        <v>11</v>
      </c>
      <c r="G294" t="s">
        <v>867</v>
      </c>
      <c r="H294" t="s">
        <v>868</v>
      </c>
      <c r="I294" s="116">
        <f>INT(tblTransactions[[#This Row],[TransactionDate]])</f>
        <v>46206</v>
      </c>
      <c r="J294" t="str">
        <f>IF(tblTransactions[[#This Row],[ApprovalID]]="", "R2 - Missing Approval Reference", "")</f>
        <v/>
      </c>
      <c r="K294" t="str">
        <f>IF(AND(tblTransactions[[#This Row],[ApprovalID]]&lt;&gt;"",COUNTIFS(tblApprovals[TransactionID],tblTransactions[[#This Row],[TransactionID]],tblApprovals[ApprovalID],tblTransactions[[#This Row],[ApprovalID]])=0),"R3 - Missing or Mismatched Approval Record", "")</f>
        <v/>
      </c>
      <c r="L29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4" t="str">
        <f>IF(AND(tblTransactions[[#This Row],[TransactionStatus]]="Success",COUNTIF(tblSettlement[TransactionID],tblTransactions[[#This Row],[TransactionID]])=0)," R5 - Successful Transaction Not Settled", "")</f>
        <v/>
      </c>
      <c r="N294" t="str">
        <f>IF(AND(COUNTIF(tblSettlement[TransactionID],tblTransactions[[#This Row],[TransactionID]])&gt;0,tblTransactions[[#This Row],[Amount]]&lt;&gt;SUMIF(tblSettlement[TransactionID],tblTransactions[[#This Row],[TransactionID]],tblSettlement[SettledAmount]))," R6 - Settlement Amount Mismatch", "")</f>
        <v/>
      </c>
      <c r="O294" t="str">
        <f>IF(AND(tblTransactions[[#This Row],[CustomerRef]] &lt;&gt;"",COUNTIFS(tblTransactions[CustomerRef],tblTransactions[[#This Row],[CustomerRef]],tblTransactions[Amount],tblTransactions[[#This Row],[Amount]],tblTransactions[Date],tblTransactions[[#This Row],[Date]])&gt;1),"Yes","No")</f>
        <v>No</v>
      </c>
    </row>
    <row r="295" spans="1:15" x14ac:dyDescent="0.3">
      <c r="A295" t="s">
        <v>869</v>
      </c>
      <c r="B295" s="2">
        <v>46223.466666666667</v>
      </c>
      <c r="C295" t="s">
        <v>24</v>
      </c>
      <c r="D295" t="s">
        <v>20</v>
      </c>
      <c r="E295" s="6">
        <v>46578.62</v>
      </c>
      <c r="F295" t="s">
        <v>11</v>
      </c>
      <c r="G295" t="s">
        <v>870</v>
      </c>
      <c r="H295" t="s">
        <v>727</v>
      </c>
      <c r="I295" s="116">
        <f>INT(tblTransactions[[#This Row],[TransactionDate]])</f>
        <v>46223</v>
      </c>
      <c r="J295" t="str">
        <f>IF(tblTransactions[[#This Row],[ApprovalID]]="", "R2 - Missing Approval Reference", "")</f>
        <v/>
      </c>
      <c r="K295" t="str">
        <f>IF(AND(tblTransactions[[#This Row],[ApprovalID]]&lt;&gt;"",COUNTIFS(tblApprovals[TransactionID],tblTransactions[[#This Row],[TransactionID]],tblApprovals[ApprovalID],tblTransactions[[#This Row],[ApprovalID]])=0),"R3 - Missing or Mismatched Approval Record", "")</f>
        <v/>
      </c>
      <c r="L29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5" t="str">
        <f>IF(AND(tblTransactions[[#This Row],[TransactionStatus]]="Success",COUNTIF(tblSettlement[TransactionID],tblTransactions[[#This Row],[TransactionID]])=0)," R5 - Successful Transaction Not Settled", "")</f>
        <v/>
      </c>
      <c r="N295" t="str">
        <f>IF(AND(COUNTIF(tblSettlement[TransactionID],tblTransactions[[#This Row],[TransactionID]])&gt;0,tblTransactions[[#This Row],[Amount]]&lt;&gt;SUMIF(tblSettlement[TransactionID],tblTransactions[[#This Row],[TransactionID]],tblSettlement[SettledAmount]))," R6 - Settlement Amount Mismatch", "")</f>
        <v/>
      </c>
      <c r="O295" t="str">
        <f>IF(AND(tblTransactions[[#This Row],[CustomerRef]] &lt;&gt;"",COUNTIFS(tblTransactions[CustomerRef],tblTransactions[[#This Row],[CustomerRef]],tblTransactions[Amount],tblTransactions[[#This Row],[Amount]],tblTransactions[Date],tblTransactions[[#This Row],[Date]])&gt;1),"Yes","No")</f>
        <v>No</v>
      </c>
    </row>
    <row r="296" spans="1:15" x14ac:dyDescent="0.3">
      <c r="A296" t="s">
        <v>871</v>
      </c>
      <c r="B296" s="2">
        <v>46251.603472222225</v>
      </c>
      <c r="C296" t="s">
        <v>9</v>
      </c>
      <c r="D296" t="s">
        <v>20</v>
      </c>
      <c r="E296" s="6">
        <v>42483.91</v>
      </c>
      <c r="F296" t="s">
        <v>36</v>
      </c>
      <c r="G296" t="s">
        <v>872</v>
      </c>
      <c r="H296" t="s">
        <v>873</v>
      </c>
      <c r="I296" s="116">
        <f>INT(tblTransactions[[#This Row],[TransactionDate]])</f>
        <v>46251</v>
      </c>
      <c r="J296" t="str">
        <f>IF(tblTransactions[[#This Row],[ApprovalID]]="", "R2 - Missing Approval Reference", "")</f>
        <v/>
      </c>
      <c r="K296" t="str">
        <f>IF(AND(tblTransactions[[#This Row],[ApprovalID]]&lt;&gt;"",COUNTIFS(tblApprovals[TransactionID],tblTransactions[[#This Row],[TransactionID]],tblApprovals[ApprovalID],tblTransactions[[#This Row],[ApprovalID]])=0),"R3 - Missing or Mismatched Approval Record", "")</f>
        <v/>
      </c>
      <c r="L29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6" t="str">
        <f>IF(AND(tblTransactions[[#This Row],[TransactionStatus]]="Success",COUNTIF(tblSettlement[TransactionID],tblTransactions[[#This Row],[TransactionID]])=0)," R5 - Successful Transaction Not Settled", "")</f>
        <v/>
      </c>
      <c r="N296" t="str">
        <f>IF(AND(COUNTIF(tblSettlement[TransactionID],tblTransactions[[#This Row],[TransactionID]])&gt;0,tblTransactions[[#This Row],[Amount]]&lt;&gt;SUMIF(tblSettlement[TransactionID],tblTransactions[[#This Row],[TransactionID]],tblSettlement[SettledAmount]))," R6 - Settlement Amount Mismatch", "")</f>
        <v/>
      </c>
      <c r="O296" t="str">
        <f>IF(AND(tblTransactions[[#This Row],[CustomerRef]] &lt;&gt;"",COUNTIFS(tblTransactions[CustomerRef],tblTransactions[[#This Row],[CustomerRef]],tblTransactions[Amount],tblTransactions[[#This Row],[Amount]],tblTransactions[Date],tblTransactions[[#This Row],[Date]])&gt;1),"Yes","No")</f>
        <v>No</v>
      </c>
    </row>
    <row r="297" spans="1:15" x14ac:dyDescent="0.3">
      <c r="A297" t="s">
        <v>874</v>
      </c>
      <c r="B297" s="2">
        <v>46287.90347222222</v>
      </c>
      <c r="C297" t="s">
        <v>43</v>
      </c>
      <c r="D297" t="s">
        <v>29</v>
      </c>
      <c r="E297" s="6">
        <v>57029.04</v>
      </c>
      <c r="F297" t="s">
        <v>11</v>
      </c>
      <c r="G297" t="s">
        <v>875</v>
      </c>
      <c r="H297" t="s">
        <v>876</v>
      </c>
      <c r="I297" s="116">
        <f>INT(tblTransactions[[#This Row],[TransactionDate]])</f>
        <v>46287</v>
      </c>
      <c r="J297" t="str">
        <f>IF(tblTransactions[[#This Row],[ApprovalID]]="", "R2 - Missing Approval Reference", "")</f>
        <v/>
      </c>
      <c r="K297" t="str">
        <f>IF(AND(tblTransactions[[#This Row],[ApprovalID]]&lt;&gt;"",COUNTIFS(tblApprovals[TransactionID],tblTransactions[[#This Row],[TransactionID]],tblApprovals[ApprovalID],tblTransactions[[#This Row],[ApprovalID]])=0),"R3 - Missing or Mismatched Approval Record", "")</f>
        <v/>
      </c>
      <c r="L29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7" t="str">
        <f>IF(AND(tblTransactions[[#This Row],[TransactionStatus]]="Success",COUNTIF(tblSettlement[TransactionID],tblTransactions[[#This Row],[TransactionID]])=0)," R5 - Successful Transaction Not Settled", "")</f>
        <v/>
      </c>
      <c r="N297" t="str">
        <f>IF(AND(COUNTIF(tblSettlement[TransactionID],tblTransactions[[#This Row],[TransactionID]])&gt;0,tblTransactions[[#This Row],[Amount]]&lt;&gt;SUMIF(tblSettlement[TransactionID],tblTransactions[[#This Row],[TransactionID]],tblSettlement[SettledAmount]))," R6 - Settlement Amount Mismatch", "")</f>
        <v/>
      </c>
      <c r="O297" t="str">
        <f>IF(AND(tblTransactions[[#This Row],[CustomerRef]] &lt;&gt;"",COUNTIFS(tblTransactions[CustomerRef],tblTransactions[[#This Row],[CustomerRef]],tblTransactions[Amount],tblTransactions[[#This Row],[Amount]],tblTransactions[Date],tblTransactions[[#This Row],[Date]])&gt;1),"Yes","No")</f>
        <v>No</v>
      </c>
    </row>
    <row r="298" spans="1:15" x14ac:dyDescent="0.3">
      <c r="A298" t="s">
        <v>877</v>
      </c>
      <c r="B298" s="2">
        <v>46285.363888888889</v>
      </c>
      <c r="C298" t="s">
        <v>43</v>
      </c>
      <c r="D298" t="s">
        <v>20</v>
      </c>
      <c r="E298" s="6">
        <v>13060.92</v>
      </c>
      <c r="F298" t="s">
        <v>11</v>
      </c>
      <c r="G298" t="s">
        <v>878</v>
      </c>
      <c r="H298" t="s">
        <v>879</v>
      </c>
      <c r="I298" s="116">
        <f>INT(tblTransactions[[#This Row],[TransactionDate]])</f>
        <v>46285</v>
      </c>
      <c r="J298" t="str">
        <f>IF(tblTransactions[[#This Row],[ApprovalID]]="", "R2 - Missing Approval Reference", "")</f>
        <v/>
      </c>
      <c r="K298" t="str">
        <f>IF(AND(tblTransactions[[#This Row],[ApprovalID]]&lt;&gt;"",COUNTIFS(tblApprovals[TransactionID],tblTransactions[[#This Row],[TransactionID]],tblApprovals[ApprovalID],tblTransactions[[#This Row],[ApprovalID]])=0),"R3 - Missing or Mismatched Approval Record", "")</f>
        <v/>
      </c>
      <c r="L29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8" t="str">
        <f>IF(AND(tblTransactions[[#This Row],[TransactionStatus]]="Success",COUNTIF(tblSettlement[TransactionID],tblTransactions[[#This Row],[TransactionID]])=0)," R5 - Successful Transaction Not Settled", "")</f>
        <v/>
      </c>
      <c r="N298" t="str">
        <f>IF(AND(COUNTIF(tblSettlement[TransactionID],tblTransactions[[#This Row],[TransactionID]])&gt;0,tblTransactions[[#This Row],[Amount]]&lt;&gt;SUMIF(tblSettlement[TransactionID],tblTransactions[[#This Row],[TransactionID]],tblSettlement[SettledAmount]))," R6 - Settlement Amount Mismatch", "")</f>
        <v/>
      </c>
      <c r="O298" t="str">
        <f>IF(AND(tblTransactions[[#This Row],[CustomerRef]] &lt;&gt;"",COUNTIFS(tblTransactions[CustomerRef],tblTransactions[[#This Row],[CustomerRef]],tblTransactions[Amount],tblTransactions[[#This Row],[Amount]],tblTransactions[Date],tblTransactions[[#This Row],[Date]])&gt;1),"Yes","No")</f>
        <v>No</v>
      </c>
    </row>
    <row r="299" spans="1:15" x14ac:dyDescent="0.3">
      <c r="A299" t="s">
        <v>880</v>
      </c>
      <c r="B299" s="2">
        <v>46271.918055555558</v>
      </c>
      <c r="C299" t="s">
        <v>28</v>
      </c>
      <c r="D299" t="s">
        <v>15</v>
      </c>
      <c r="E299" s="6">
        <v>17425.05</v>
      </c>
      <c r="F299" t="s">
        <v>111</v>
      </c>
      <c r="G299" t="s">
        <v>881</v>
      </c>
      <c r="H299" t="s">
        <v>882</v>
      </c>
      <c r="I299" s="116">
        <f>INT(tblTransactions[[#This Row],[TransactionDate]])</f>
        <v>46271</v>
      </c>
      <c r="J299" t="str">
        <f>IF(tblTransactions[[#This Row],[ApprovalID]]="", "R2 - Missing Approval Reference", "")</f>
        <v/>
      </c>
      <c r="K299" t="str">
        <f>IF(AND(tblTransactions[[#This Row],[ApprovalID]]&lt;&gt;"",COUNTIFS(tblApprovals[TransactionID],tblTransactions[[#This Row],[TransactionID]],tblApprovals[ApprovalID],tblTransactions[[#This Row],[ApprovalID]])=0),"R3 - Missing or Mismatched Approval Record", "")</f>
        <v/>
      </c>
      <c r="L29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299" t="str">
        <f>IF(AND(tblTransactions[[#This Row],[TransactionStatus]]="Success",COUNTIF(tblSettlement[TransactionID],tblTransactions[[#This Row],[TransactionID]])=0)," R5 - Successful Transaction Not Settled", "")</f>
        <v/>
      </c>
      <c r="N299" t="str">
        <f>IF(AND(COUNTIF(tblSettlement[TransactionID],tblTransactions[[#This Row],[TransactionID]])&gt;0,tblTransactions[[#This Row],[Amount]]&lt;&gt;SUMIF(tblSettlement[TransactionID],tblTransactions[[#This Row],[TransactionID]],tblSettlement[SettledAmount]))," R6 - Settlement Amount Mismatch", "")</f>
        <v/>
      </c>
      <c r="O299" t="str">
        <f>IF(AND(tblTransactions[[#This Row],[CustomerRef]] &lt;&gt;"",COUNTIFS(tblTransactions[CustomerRef],tblTransactions[[#This Row],[CustomerRef]],tblTransactions[Amount],tblTransactions[[#This Row],[Amount]],tblTransactions[Date],tblTransactions[[#This Row],[Date]])&gt;1),"Yes","No")</f>
        <v>No</v>
      </c>
    </row>
    <row r="300" spans="1:15" x14ac:dyDescent="0.3">
      <c r="A300" t="s">
        <v>883</v>
      </c>
      <c r="B300" s="2">
        <v>46213.790972222225</v>
      </c>
      <c r="C300" t="s">
        <v>28</v>
      </c>
      <c r="D300" t="s">
        <v>10</v>
      </c>
      <c r="E300" s="6">
        <v>21207.88</v>
      </c>
      <c r="F300" t="s">
        <v>11</v>
      </c>
      <c r="G300" t="s">
        <v>884</v>
      </c>
      <c r="H300" t="s">
        <v>885</v>
      </c>
      <c r="I300" s="116">
        <f>INT(tblTransactions[[#This Row],[TransactionDate]])</f>
        <v>46213</v>
      </c>
      <c r="J300" t="str">
        <f>IF(tblTransactions[[#This Row],[ApprovalID]]="", "R2 - Missing Approval Reference", "")</f>
        <v/>
      </c>
      <c r="K300" t="str">
        <f>IF(AND(tblTransactions[[#This Row],[ApprovalID]]&lt;&gt;"",COUNTIFS(tblApprovals[TransactionID],tblTransactions[[#This Row],[TransactionID]],tblApprovals[ApprovalID],tblTransactions[[#This Row],[ApprovalID]])=0),"R3 - Missing or Mismatched Approval Record", "")</f>
        <v/>
      </c>
      <c r="L30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0" t="str">
        <f>IF(AND(tblTransactions[[#This Row],[TransactionStatus]]="Success",COUNTIF(tblSettlement[TransactionID],tblTransactions[[#This Row],[TransactionID]])=0)," R5 - Successful Transaction Not Settled", "")</f>
        <v/>
      </c>
      <c r="N300" t="str">
        <f>IF(AND(COUNTIF(tblSettlement[TransactionID],tblTransactions[[#This Row],[TransactionID]])&gt;0,tblTransactions[[#This Row],[Amount]]&lt;&gt;SUMIF(tblSettlement[TransactionID],tblTransactions[[#This Row],[TransactionID]],tblSettlement[SettledAmount]))," R6 - Settlement Amount Mismatch", "")</f>
        <v/>
      </c>
      <c r="O300" t="str">
        <f>IF(AND(tblTransactions[[#This Row],[CustomerRef]] &lt;&gt;"",COUNTIFS(tblTransactions[CustomerRef],tblTransactions[[#This Row],[CustomerRef]],tblTransactions[Amount],tblTransactions[[#This Row],[Amount]],tblTransactions[Date],tblTransactions[[#This Row],[Date]])&gt;1),"Yes","No")</f>
        <v>No</v>
      </c>
    </row>
    <row r="301" spans="1:15" x14ac:dyDescent="0.3">
      <c r="A301" t="s">
        <v>886</v>
      </c>
      <c r="B301" s="2">
        <v>46206.484027777777</v>
      </c>
      <c r="C301" t="s">
        <v>43</v>
      </c>
      <c r="D301" t="s">
        <v>10</v>
      </c>
      <c r="E301" s="6">
        <v>11028.32</v>
      </c>
      <c r="F301" t="s">
        <v>11</v>
      </c>
      <c r="G301" t="s">
        <v>887</v>
      </c>
      <c r="H301" t="s">
        <v>888</v>
      </c>
      <c r="I301" s="116">
        <f>INT(tblTransactions[[#This Row],[TransactionDate]])</f>
        <v>46206</v>
      </c>
      <c r="J301" t="str">
        <f>IF(tblTransactions[[#This Row],[ApprovalID]]="", "R2 - Missing Approval Reference", "")</f>
        <v/>
      </c>
      <c r="K301" t="str">
        <f>IF(AND(tblTransactions[[#This Row],[ApprovalID]]&lt;&gt;"",COUNTIFS(tblApprovals[TransactionID],tblTransactions[[#This Row],[TransactionID]],tblApprovals[ApprovalID],tblTransactions[[#This Row],[ApprovalID]])=0),"R3 - Missing or Mismatched Approval Record", "")</f>
        <v/>
      </c>
      <c r="L30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1" t="str">
        <f>IF(AND(tblTransactions[[#This Row],[TransactionStatus]]="Success",COUNTIF(tblSettlement[TransactionID],tblTransactions[[#This Row],[TransactionID]])=0)," R5 - Successful Transaction Not Settled", "")</f>
        <v/>
      </c>
      <c r="N301" t="str">
        <f>IF(AND(COUNTIF(tblSettlement[TransactionID],tblTransactions[[#This Row],[TransactionID]])&gt;0,tblTransactions[[#This Row],[Amount]]&lt;&gt;SUMIF(tblSettlement[TransactionID],tblTransactions[[#This Row],[TransactionID]],tblSettlement[SettledAmount]))," R6 - Settlement Amount Mismatch", "")</f>
        <v/>
      </c>
      <c r="O301" t="str">
        <f>IF(AND(tblTransactions[[#This Row],[CustomerRef]] &lt;&gt;"",COUNTIFS(tblTransactions[CustomerRef],tblTransactions[[#This Row],[CustomerRef]],tblTransactions[Amount],tblTransactions[[#This Row],[Amount]],tblTransactions[Date],tblTransactions[[#This Row],[Date]])&gt;1),"Yes","No")</f>
        <v>No</v>
      </c>
    </row>
    <row r="302" spans="1:15" x14ac:dyDescent="0.3">
      <c r="A302" t="s">
        <v>889</v>
      </c>
      <c r="B302" s="2">
        <v>46276.912499999999</v>
      </c>
      <c r="C302" t="s">
        <v>24</v>
      </c>
      <c r="D302" t="s">
        <v>29</v>
      </c>
      <c r="E302" s="6">
        <v>29339.46</v>
      </c>
      <c r="F302" t="s">
        <v>111</v>
      </c>
      <c r="G302" t="s">
        <v>890</v>
      </c>
      <c r="H302" t="s">
        <v>891</v>
      </c>
      <c r="I302" s="116">
        <f>INT(tblTransactions[[#This Row],[TransactionDate]])</f>
        <v>46276</v>
      </c>
      <c r="J302" t="str">
        <f>IF(tblTransactions[[#This Row],[ApprovalID]]="", "R2 - Missing Approval Reference", "")</f>
        <v/>
      </c>
      <c r="K302" t="str">
        <f>IF(AND(tblTransactions[[#This Row],[ApprovalID]]&lt;&gt;"",COUNTIFS(tblApprovals[TransactionID],tblTransactions[[#This Row],[TransactionID]],tblApprovals[ApprovalID],tblTransactions[[#This Row],[ApprovalID]])=0),"R3 - Missing or Mismatched Approval Record", "")</f>
        <v/>
      </c>
      <c r="L30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2" t="str">
        <f>IF(AND(tblTransactions[[#This Row],[TransactionStatus]]="Success",COUNTIF(tblSettlement[TransactionID],tblTransactions[[#This Row],[TransactionID]])=0)," R5 - Successful Transaction Not Settled", "")</f>
        <v/>
      </c>
      <c r="N302" t="str">
        <f>IF(AND(COUNTIF(tblSettlement[TransactionID],tblTransactions[[#This Row],[TransactionID]])&gt;0,tblTransactions[[#This Row],[Amount]]&lt;&gt;SUMIF(tblSettlement[TransactionID],tblTransactions[[#This Row],[TransactionID]],tblSettlement[SettledAmount]))," R6 - Settlement Amount Mismatch", "")</f>
        <v/>
      </c>
      <c r="O302" t="str">
        <f>IF(AND(tblTransactions[[#This Row],[CustomerRef]] &lt;&gt;"",COUNTIFS(tblTransactions[CustomerRef],tblTransactions[[#This Row],[CustomerRef]],tblTransactions[Amount],tblTransactions[[#This Row],[Amount]],tblTransactions[Date],tblTransactions[[#This Row],[Date]])&gt;1),"Yes","No")</f>
        <v>No</v>
      </c>
    </row>
    <row r="303" spans="1:15" x14ac:dyDescent="0.3">
      <c r="A303" t="s">
        <v>892</v>
      </c>
      <c r="B303" s="2">
        <v>46292.795138888891</v>
      </c>
      <c r="C303" t="s">
        <v>47</v>
      </c>
      <c r="D303" t="s">
        <v>10</v>
      </c>
      <c r="E303" s="6">
        <v>37684.269999999997</v>
      </c>
      <c r="F303" t="s">
        <v>36</v>
      </c>
      <c r="G303" t="s">
        <v>893</v>
      </c>
      <c r="H303" t="s">
        <v>894</v>
      </c>
      <c r="I303" s="116">
        <f>INT(tblTransactions[[#This Row],[TransactionDate]])</f>
        <v>46292</v>
      </c>
      <c r="J303" t="str">
        <f>IF(tblTransactions[[#This Row],[ApprovalID]]="", "R2 - Missing Approval Reference", "")</f>
        <v/>
      </c>
      <c r="K303" t="str">
        <f>IF(AND(tblTransactions[[#This Row],[ApprovalID]]&lt;&gt;"",COUNTIFS(tblApprovals[TransactionID],tblTransactions[[#This Row],[TransactionID]],tblApprovals[ApprovalID],tblTransactions[[#This Row],[ApprovalID]])=0),"R3 - Missing or Mismatched Approval Record", "")</f>
        <v/>
      </c>
      <c r="L30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3" t="str">
        <f>IF(AND(tblTransactions[[#This Row],[TransactionStatus]]="Success",COUNTIF(tblSettlement[TransactionID],tblTransactions[[#This Row],[TransactionID]])=0)," R5 - Successful Transaction Not Settled", "")</f>
        <v/>
      </c>
      <c r="N303" t="str">
        <f>IF(AND(COUNTIF(tblSettlement[TransactionID],tblTransactions[[#This Row],[TransactionID]])&gt;0,tblTransactions[[#This Row],[Amount]]&lt;&gt;SUMIF(tblSettlement[TransactionID],tblTransactions[[#This Row],[TransactionID]],tblSettlement[SettledAmount]))," R6 - Settlement Amount Mismatch", "")</f>
        <v/>
      </c>
      <c r="O303" t="str">
        <f>IF(AND(tblTransactions[[#This Row],[CustomerRef]] &lt;&gt;"",COUNTIFS(tblTransactions[CustomerRef],tblTransactions[[#This Row],[CustomerRef]],tblTransactions[Amount],tblTransactions[[#This Row],[Amount]],tblTransactions[Date],tblTransactions[[#This Row],[Date]])&gt;1),"Yes","No")</f>
        <v>No</v>
      </c>
    </row>
    <row r="304" spans="1:15" x14ac:dyDescent="0.3">
      <c r="A304" t="s">
        <v>895</v>
      </c>
      <c r="B304" s="2">
        <v>46247.742361111108</v>
      </c>
      <c r="C304" t="s">
        <v>24</v>
      </c>
      <c r="D304" t="s">
        <v>10</v>
      </c>
      <c r="E304" s="6">
        <v>46136.43</v>
      </c>
      <c r="F304" t="s">
        <v>11</v>
      </c>
      <c r="G304" t="s">
        <v>896</v>
      </c>
      <c r="H304" t="s">
        <v>897</v>
      </c>
      <c r="I304" s="116">
        <f>INT(tblTransactions[[#This Row],[TransactionDate]])</f>
        <v>46247</v>
      </c>
      <c r="J304" t="str">
        <f>IF(tblTransactions[[#This Row],[ApprovalID]]="", "R2 - Missing Approval Reference", "")</f>
        <v/>
      </c>
      <c r="K304" t="str">
        <f>IF(AND(tblTransactions[[#This Row],[ApprovalID]]&lt;&gt;"",COUNTIFS(tblApprovals[TransactionID],tblTransactions[[#This Row],[TransactionID]],tblApprovals[ApprovalID],tblTransactions[[#This Row],[ApprovalID]])=0),"R3 - Missing or Mismatched Approval Record", "")</f>
        <v/>
      </c>
      <c r="L30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4" t="str">
        <f>IF(AND(tblTransactions[[#This Row],[TransactionStatus]]="Success",COUNTIF(tblSettlement[TransactionID],tblTransactions[[#This Row],[TransactionID]])=0)," R5 - Successful Transaction Not Settled", "")</f>
        <v/>
      </c>
      <c r="N304" t="str">
        <f>IF(AND(COUNTIF(tblSettlement[TransactionID],tblTransactions[[#This Row],[TransactionID]])&gt;0,tblTransactions[[#This Row],[Amount]]&lt;&gt;SUMIF(tblSettlement[TransactionID],tblTransactions[[#This Row],[TransactionID]],tblSettlement[SettledAmount]))," R6 - Settlement Amount Mismatch", "")</f>
        <v/>
      </c>
      <c r="O304" t="str">
        <f>IF(AND(tblTransactions[[#This Row],[CustomerRef]] &lt;&gt;"",COUNTIFS(tblTransactions[CustomerRef],tblTransactions[[#This Row],[CustomerRef]],tblTransactions[Amount],tblTransactions[[#This Row],[Amount]],tblTransactions[Date],tblTransactions[[#This Row],[Date]])&gt;1),"Yes","No")</f>
        <v>No</v>
      </c>
    </row>
    <row r="305" spans="1:15" x14ac:dyDescent="0.3">
      <c r="A305" t="s">
        <v>898</v>
      </c>
      <c r="B305" s="2">
        <v>46266.473611111112</v>
      </c>
      <c r="C305" t="s">
        <v>9</v>
      </c>
      <c r="D305" t="s">
        <v>15</v>
      </c>
      <c r="E305" s="6">
        <v>41589.57</v>
      </c>
      <c r="F305" t="s">
        <v>11</v>
      </c>
      <c r="G305" t="s">
        <v>899</v>
      </c>
      <c r="H305" t="s">
        <v>900</v>
      </c>
      <c r="I305" s="116">
        <f>INT(tblTransactions[[#This Row],[TransactionDate]])</f>
        <v>46266</v>
      </c>
      <c r="J305" t="str">
        <f>IF(tblTransactions[[#This Row],[ApprovalID]]="", "R2 - Missing Approval Reference", "")</f>
        <v/>
      </c>
      <c r="K305" t="str">
        <f>IF(AND(tblTransactions[[#This Row],[ApprovalID]]&lt;&gt;"",COUNTIFS(tblApprovals[TransactionID],tblTransactions[[#This Row],[TransactionID]],tblApprovals[ApprovalID],tblTransactions[[#This Row],[ApprovalID]])=0),"R3 - Missing or Mismatched Approval Record", "")</f>
        <v/>
      </c>
      <c r="L30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5" t="str">
        <f>IF(AND(tblTransactions[[#This Row],[TransactionStatus]]="Success",COUNTIF(tblSettlement[TransactionID],tblTransactions[[#This Row],[TransactionID]])=0)," R5 - Successful Transaction Not Settled", "")</f>
        <v xml:space="preserve"> R5 - Successful Transaction Not Settled</v>
      </c>
      <c r="N305" t="str">
        <f>IF(AND(COUNTIF(tblSettlement[TransactionID],tblTransactions[[#This Row],[TransactionID]])&gt;0,tblTransactions[[#This Row],[Amount]]&lt;&gt;SUMIF(tblSettlement[TransactionID],tblTransactions[[#This Row],[TransactionID]],tblSettlement[SettledAmount]))," R6 - Settlement Amount Mismatch", "")</f>
        <v/>
      </c>
      <c r="O305" t="str">
        <f>IF(AND(tblTransactions[[#This Row],[CustomerRef]] &lt;&gt;"",COUNTIFS(tblTransactions[CustomerRef],tblTransactions[[#This Row],[CustomerRef]],tblTransactions[Amount],tblTransactions[[#This Row],[Amount]],tblTransactions[Date],tblTransactions[[#This Row],[Date]])&gt;1),"Yes","No")</f>
        <v>No</v>
      </c>
    </row>
    <row r="306" spans="1:15" x14ac:dyDescent="0.3">
      <c r="A306" t="s">
        <v>901</v>
      </c>
      <c r="B306" s="2">
        <v>46283.535416666666</v>
      </c>
      <c r="C306" t="s">
        <v>24</v>
      </c>
      <c r="D306" t="s">
        <v>69</v>
      </c>
      <c r="E306" s="6">
        <v>18672.12</v>
      </c>
      <c r="F306" t="s">
        <v>11</v>
      </c>
      <c r="G306" t="s">
        <v>902</v>
      </c>
      <c r="H306" t="s">
        <v>903</v>
      </c>
      <c r="I306" s="116">
        <f>INT(tblTransactions[[#This Row],[TransactionDate]])</f>
        <v>46283</v>
      </c>
      <c r="J306" t="str">
        <f>IF(tblTransactions[[#This Row],[ApprovalID]]="", "R2 - Missing Approval Reference", "")</f>
        <v/>
      </c>
      <c r="K306" t="str">
        <f>IF(AND(tblTransactions[[#This Row],[ApprovalID]]&lt;&gt;"",COUNTIFS(tblApprovals[TransactionID],tblTransactions[[#This Row],[TransactionID]],tblApprovals[ApprovalID],tblTransactions[[#This Row],[ApprovalID]])=0),"R3 - Missing or Mismatched Approval Record", "")</f>
        <v/>
      </c>
      <c r="L30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6" t="str">
        <f>IF(AND(tblTransactions[[#This Row],[TransactionStatus]]="Success",COUNTIF(tblSettlement[TransactionID],tblTransactions[[#This Row],[TransactionID]])=0)," R5 - Successful Transaction Not Settled", "")</f>
        <v/>
      </c>
      <c r="N306" t="str">
        <f>IF(AND(COUNTIF(tblSettlement[TransactionID],tblTransactions[[#This Row],[TransactionID]])&gt;0,tblTransactions[[#This Row],[Amount]]&lt;&gt;SUMIF(tblSettlement[TransactionID],tblTransactions[[#This Row],[TransactionID]],tblSettlement[SettledAmount]))," R6 - Settlement Amount Mismatch", "")</f>
        <v/>
      </c>
      <c r="O306" t="str">
        <f>IF(AND(tblTransactions[[#This Row],[CustomerRef]] &lt;&gt;"",COUNTIFS(tblTransactions[CustomerRef],tblTransactions[[#This Row],[CustomerRef]],tblTransactions[Amount],tblTransactions[[#This Row],[Amount]],tblTransactions[Date],tblTransactions[[#This Row],[Date]])&gt;1),"Yes","No")</f>
        <v>No</v>
      </c>
    </row>
    <row r="307" spans="1:15" x14ac:dyDescent="0.3">
      <c r="A307" t="s">
        <v>904</v>
      </c>
      <c r="B307" s="2">
        <v>46253.557638888888</v>
      </c>
      <c r="C307" t="s">
        <v>24</v>
      </c>
      <c r="D307" t="s">
        <v>29</v>
      </c>
      <c r="E307" s="6">
        <v>8214.68</v>
      </c>
      <c r="F307" t="s">
        <v>11</v>
      </c>
      <c r="G307" t="s">
        <v>905</v>
      </c>
      <c r="H307" t="s">
        <v>906</v>
      </c>
      <c r="I307" s="116">
        <f>INT(tblTransactions[[#This Row],[TransactionDate]])</f>
        <v>46253</v>
      </c>
      <c r="J307" t="str">
        <f>IF(tblTransactions[[#This Row],[ApprovalID]]="", "R2 - Missing Approval Reference", "")</f>
        <v/>
      </c>
      <c r="K307" t="str">
        <f>IF(AND(tblTransactions[[#This Row],[ApprovalID]]&lt;&gt;"",COUNTIFS(tblApprovals[TransactionID],tblTransactions[[#This Row],[TransactionID]],tblApprovals[ApprovalID],tblTransactions[[#This Row],[ApprovalID]])=0),"R3 - Missing or Mismatched Approval Record", "")</f>
        <v/>
      </c>
      <c r="L30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7" t="str">
        <f>IF(AND(tblTransactions[[#This Row],[TransactionStatus]]="Success",COUNTIF(tblSettlement[TransactionID],tblTransactions[[#This Row],[TransactionID]])=0)," R5 - Successful Transaction Not Settled", "")</f>
        <v/>
      </c>
      <c r="N307" t="str">
        <f>IF(AND(COUNTIF(tblSettlement[TransactionID],tblTransactions[[#This Row],[TransactionID]])&gt;0,tblTransactions[[#This Row],[Amount]]&lt;&gt;SUMIF(tblSettlement[TransactionID],tblTransactions[[#This Row],[TransactionID]],tblSettlement[SettledAmount]))," R6 - Settlement Amount Mismatch", "")</f>
        <v/>
      </c>
      <c r="O307" t="str">
        <f>IF(AND(tblTransactions[[#This Row],[CustomerRef]] &lt;&gt;"",COUNTIFS(tblTransactions[CustomerRef],tblTransactions[[#This Row],[CustomerRef]],tblTransactions[Amount],tblTransactions[[#This Row],[Amount]],tblTransactions[Date],tblTransactions[[#This Row],[Date]])&gt;1),"Yes","No")</f>
        <v>No</v>
      </c>
    </row>
    <row r="308" spans="1:15" x14ac:dyDescent="0.3">
      <c r="A308" t="s">
        <v>907</v>
      </c>
      <c r="B308" s="2">
        <v>46217.420138888891</v>
      </c>
      <c r="C308" t="s">
        <v>19</v>
      </c>
      <c r="D308" t="s">
        <v>15</v>
      </c>
      <c r="E308" s="6">
        <v>14257.54</v>
      </c>
      <c r="F308" t="s">
        <v>11</v>
      </c>
      <c r="G308" t="s">
        <v>908</v>
      </c>
      <c r="H308" t="s">
        <v>466</v>
      </c>
      <c r="I308" s="116">
        <f>INT(tblTransactions[[#This Row],[TransactionDate]])</f>
        <v>46217</v>
      </c>
      <c r="J308" t="str">
        <f>IF(tblTransactions[[#This Row],[ApprovalID]]="", "R2 - Missing Approval Reference", "")</f>
        <v/>
      </c>
      <c r="K308" t="str">
        <f>IF(AND(tblTransactions[[#This Row],[ApprovalID]]&lt;&gt;"",COUNTIFS(tblApprovals[TransactionID],tblTransactions[[#This Row],[TransactionID]],tblApprovals[ApprovalID],tblTransactions[[#This Row],[ApprovalID]])=0),"R3 - Missing or Mismatched Approval Record", "")</f>
        <v/>
      </c>
      <c r="L30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8" t="str">
        <f>IF(AND(tblTransactions[[#This Row],[TransactionStatus]]="Success",COUNTIF(tblSettlement[TransactionID],tblTransactions[[#This Row],[TransactionID]])=0)," R5 - Successful Transaction Not Settled", "")</f>
        <v/>
      </c>
      <c r="N308" t="str">
        <f>IF(AND(COUNTIF(tblSettlement[TransactionID],tblTransactions[[#This Row],[TransactionID]])&gt;0,tblTransactions[[#This Row],[Amount]]&lt;&gt;SUMIF(tblSettlement[TransactionID],tblTransactions[[#This Row],[TransactionID]],tblSettlement[SettledAmount]))," R6 - Settlement Amount Mismatch", "")</f>
        <v/>
      </c>
      <c r="O308" t="str">
        <f>IF(AND(tblTransactions[[#This Row],[CustomerRef]] &lt;&gt;"",COUNTIFS(tblTransactions[CustomerRef],tblTransactions[[#This Row],[CustomerRef]],tblTransactions[Amount],tblTransactions[[#This Row],[Amount]],tblTransactions[Date],tblTransactions[[#This Row],[Date]])&gt;1),"Yes","No")</f>
        <v>No</v>
      </c>
    </row>
    <row r="309" spans="1:15" x14ac:dyDescent="0.3">
      <c r="A309" t="s">
        <v>909</v>
      </c>
      <c r="B309" s="2">
        <v>46215.565972222219</v>
      </c>
      <c r="C309" t="s">
        <v>24</v>
      </c>
      <c r="D309" t="s">
        <v>29</v>
      </c>
      <c r="E309" s="6">
        <v>7206.55</v>
      </c>
      <c r="F309" t="s">
        <v>11</v>
      </c>
      <c r="H309" t="s">
        <v>910</v>
      </c>
      <c r="I309" s="116">
        <f>INT(tblTransactions[[#This Row],[TransactionDate]])</f>
        <v>46215</v>
      </c>
      <c r="J309" t="str">
        <f>IF(tblTransactions[[#This Row],[ApprovalID]]="", "R2 - Missing Approval Reference", "")</f>
        <v>R2 - Missing Approval Reference</v>
      </c>
      <c r="K309" t="str">
        <f>IF(AND(tblTransactions[[#This Row],[ApprovalID]]&lt;&gt;"",COUNTIFS(tblApprovals[TransactionID],tblTransactions[[#This Row],[TransactionID]],tblApprovals[ApprovalID],tblTransactions[[#This Row],[ApprovalID]])=0),"R3 - Missing or Mismatched Approval Record", "")</f>
        <v/>
      </c>
      <c r="L30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09" t="str">
        <f>IF(AND(tblTransactions[[#This Row],[TransactionStatus]]="Success",COUNTIF(tblSettlement[TransactionID],tblTransactions[[#This Row],[TransactionID]])=0)," R5 - Successful Transaction Not Settled", "")</f>
        <v/>
      </c>
      <c r="N309" t="str">
        <f>IF(AND(COUNTIF(tblSettlement[TransactionID],tblTransactions[[#This Row],[TransactionID]])&gt;0,tblTransactions[[#This Row],[Amount]]&lt;&gt;SUMIF(tblSettlement[TransactionID],tblTransactions[[#This Row],[TransactionID]],tblSettlement[SettledAmount]))," R6 - Settlement Amount Mismatch", "")</f>
        <v/>
      </c>
      <c r="O309" t="str">
        <f>IF(AND(tblTransactions[[#This Row],[CustomerRef]] &lt;&gt;"",COUNTIFS(tblTransactions[CustomerRef],tblTransactions[[#This Row],[CustomerRef]],tblTransactions[Amount],tblTransactions[[#This Row],[Amount]],tblTransactions[Date],tblTransactions[[#This Row],[Date]])&gt;1),"Yes","No")</f>
        <v>No</v>
      </c>
    </row>
    <row r="310" spans="1:15" x14ac:dyDescent="0.3">
      <c r="A310" t="s">
        <v>911</v>
      </c>
      <c r="B310" s="2">
        <v>46253.836805555555</v>
      </c>
      <c r="C310" t="s">
        <v>9</v>
      </c>
      <c r="D310" t="s">
        <v>15</v>
      </c>
      <c r="E310" s="6">
        <v>54432.08</v>
      </c>
      <c r="F310" t="s">
        <v>11</v>
      </c>
      <c r="G310" t="s">
        <v>912</v>
      </c>
      <c r="H310" t="s">
        <v>913</v>
      </c>
      <c r="I310" s="116">
        <f>INT(tblTransactions[[#This Row],[TransactionDate]])</f>
        <v>46253</v>
      </c>
      <c r="J310" t="str">
        <f>IF(tblTransactions[[#This Row],[ApprovalID]]="", "R2 - Missing Approval Reference", "")</f>
        <v/>
      </c>
      <c r="K310" t="str">
        <f>IF(AND(tblTransactions[[#This Row],[ApprovalID]]&lt;&gt;"",COUNTIFS(tblApprovals[TransactionID],tblTransactions[[#This Row],[TransactionID]],tblApprovals[ApprovalID],tblTransactions[[#This Row],[ApprovalID]])=0),"R3 - Missing or Mismatched Approval Record", "")</f>
        <v/>
      </c>
      <c r="L31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0" t="str">
        <f>IF(AND(tblTransactions[[#This Row],[TransactionStatus]]="Success",COUNTIF(tblSettlement[TransactionID],tblTransactions[[#This Row],[TransactionID]])=0)," R5 - Successful Transaction Not Settled", "")</f>
        <v/>
      </c>
      <c r="N310" t="str">
        <f>IF(AND(COUNTIF(tblSettlement[TransactionID],tblTransactions[[#This Row],[TransactionID]])&gt;0,tblTransactions[[#This Row],[Amount]]&lt;&gt;SUMIF(tblSettlement[TransactionID],tblTransactions[[#This Row],[TransactionID]],tblSettlement[SettledAmount]))," R6 - Settlement Amount Mismatch", "")</f>
        <v/>
      </c>
      <c r="O310" t="str">
        <f>IF(AND(tblTransactions[[#This Row],[CustomerRef]] &lt;&gt;"",COUNTIFS(tblTransactions[CustomerRef],tblTransactions[[#This Row],[CustomerRef]],tblTransactions[Amount],tblTransactions[[#This Row],[Amount]],tblTransactions[Date],tblTransactions[[#This Row],[Date]])&gt;1),"Yes","No")</f>
        <v>No</v>
      </c>
    </row>
    <row r="311" spans="1:15" x14ac:dyDescent="0.3">
      <c r="A311" t="s">
        <v>914</v>
      </c>
      <c r="B311" s="2">
        <v>46225.428472222222</v>
      </c>
      <c r="C311" t="s">
        <v>47</v>
      </c>
      <c r="D311" t="s">
        <v>69</v>
      </c>
      <c r="E311" s="6">
        <v>22759.56</v>
      </c>
      <c r="F311" t="s">
        <v>11</v>
      </c>
      <c r="G311" t="s">
        <v>915</v>
      </c>
      <c r="H311" t="s">
        <v>916</v>
      </c>
      <c r="I311" s="116">
        <f>INT(tblTransactions[[#This Row],[TransactionDate]])</f>
        <v>46225</v>
      </c>
      <c r="J311" t="str">
        <f>IF(tblTransactions[[#This Row],[ApprovalID]]="", "R2 - Missing Approval Reference", "")</f>
        <v/>
      </c>
      <c r="K311" t="str">
        <f>IF(AND(tblTransactions[[#This Row],[ApprovalID]]&lt;&gt;"",COUNTIFS(tblApprovals[TransactionID],tblTransactions[[#This Row],[TransactionID]],tblApprovals[ApprovalID],tblTransactions[[#This Row],[ApprovalID]])=0),"R3 - Missing or Mismatched Approval Record", "")</f>
        <v/>
      </c>
      <c r="L31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1" t="str">
        <f>IF(AND(tblTransactions[[#This Row],[TransactionStatus]]="Success",COUNTIF(tblSettlement[TransactionID],tblTransactions[[#This Row],[TransactionID]])=0)," R5 - Successful Transaction Not Settled", "")</f>
        <v/>
      </c>
      <c r="N311" t="str">
        <f>IF(AND(COUNTIF(tblSettlement[TransactionID],tblTransactions[[#This Row],[TransactionID]])&gt;0,tblTransactions[[#This Row],[Amount]]&lt;&gt;SUMIF(tblSettlement[TransactionID],tblTransactions[[#This Row],[TransactionID]],tblSettlement[SettledAmount]))," R6 - Settlement Amount Mismatch", "")</f>
        <v/>
      </c>
      <c r="O311" t="str">
        <f>IF(AND(tblTransactions[[#This Row],[CustomerRef]] &lt;&gt;"",COUNTIFS(tblTransactions[CustomerRef],tblTransactions[[#This Row],[CustomerRef]],tblTransactions[Amount],tblTransactions[[#This Row],[Amount]],tblTransactions[Date],tblTransactions[[#This Row],[Date]])&gt;1),"Yes","No")</f>
        <v>No</v>
      </c>
    </row>
    <row r="312" spans="1:15" x14ac:dyDescent="0.3">
      <c r="A312" t="s">
        <v>917</v>
      </c>
      <c r="B312" s="2">
        <v>46242.659722222219</v>
      </c>
      <c r="C312" t="s">
        <v>9</v>
      </c>
      <c r="D312" t="s">
        <v>29</v>
      </c>
      <c r="E312" s="6">
        <v>5999.87</v>
      </c>
      <c r="F312" t="s">
        <v>11</v>
      </c>
      <c r="G312" t="s">
        <v>918</v>
      </c>
      <c r="H312" t="s">
        <v>919</v>
      </c>
      <c r="I312" s="116">
        <f>INT(tblTransactions[[#This Row],[TransactionDate]])</f>
        <v>46242</v>
      </c>
      <c r="J312" t="str">
        <f>IF(tblTransactions[[#This Row],[ApprovalID]]="", "R2 - Missing Approval Reference", "")</f>
        <v/>
      </c>
      <c r="K312" t="str">
        <f>IF(AND(tblTransactions[[#This Row],[ApprovalID]]&lt;&gt;"",COUNTIFS(tblApprovals[TransactionID],tblTransactions[[#This Row],[TransactionID]],tblApprovals[ApprovalID],tblTransactions[[#This Row],[ApprovalID]])=0),"R3 - Missing or Mismatched Approval Record", "")</f>
        <v/>
      </c>
      <c r="L31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2" t="str">
        <f>IF(AND(tblTransactions[[#This Row],[TransactionStatus]]="Success",COUNTIF(tblSettlement[TransactionID],tblTransactions[[#This Row],[TransactionID]])=0)," R5 - Successful Transaction Not Settled", "")</f>
        <v/>
      </c>
      <c r="N312" t="str">
        <f>IF(AND(COUNTIF(tblSettlement[TransactionID],tblTransactions[[#This Row],[TransactionID]])&gt;0,tblTransactions[[#This Row],[Amount]]&lt;&gt;SUMIF(tblSettlement[TransactionID],tblTransactions[[#This Row],[TransactionID]],tblSettlement[SettledAmount]))," R6 - Settlement Amount Mismatch", "")</f>
        <v/>
      </c>
      <c r="O312" t="str">
        <f>IF(AND(tblTransactions[[#This Row],[CustomerRef]] &lt;&gt;"",COUNTIFS(tblTransactions[CustomerRef],tblTransactions[[#This Row],[CustomerRef]],tblTransactions[Amount],tblTransactions[[#This Row],[Amount]],tblTransactions[Date],tblTransactions[[#This Row],[Date]])&gt;1),"Yes","No")</f>
        <v>No</v>
      </c>
    </row>
    <row r="313" spans="1:15" x14ac:dyDescent="0.3">
      <c r="A313" t="s">
        <v>920</v>
      </c>
      <c r="B313" s="2">
        <v>46262.380555555559</v>
      </c>
      <c r="C313" t="s">
        <v>24</v>
      </c>
      <c r="D313" t="s">
        <v>15</v>
      </c>
      <c r="E313" s="6">
        <v>23023.19</v>
      </c>
      <c r="F313" t="s">
        <v>111</v>
      </c>
      <c r="G313" t="s">
        <v>921</v>
      </c>
      <c r="H313" t="s">
        <v>922</v>
      </c>
      <c r="I313" s="116">
        <f>INT(tblTransactions[[#This Row],[TransactionDate]])</f>
        <v>46262</v>
      </c>
      <c r="J313" t="str">
        <f>IF(tblTransactions[[#This Row],[ApprovalID]]="", "R2 - Missing Approval Reference", "")</f>
        <v/>
      </c>
      <c r="K313" t="str">
        <f>IF(AND(tblTransactions[[#This Row],[ApprovalID]]&lt;&gt;"",COUNTIFS(tblApprovals[TransactionID],tblTransactions[[#This Row],[TransactionID]],tblApprovals[ApprovalID],tblTransactions[[#This Row],[ApprovalID]])=0),"R3 - Missing or Mismatched Approval Record", "")</f>
        <v/>
      </c>
      <c r="L31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3" t="str">
        <f>IF(AND(tblTransactions[[#This Row],[TransactionStatus]]="Success",COUNTIF(tblSettlement[TransactionID],tblTransactions[[#This Row],[TransactionID]])=0)," R5 - Successful Transaction Not Settled", "")</f>
        <v/>
      </c>
      <c r="N313" t="str">
        <f>IF(AND(COUNTIF(tblSettlement[TransactionID],tblTransactions[[#This Row],[TransactionID]])&gt;0,tblTransactions[[#This Row],[Amount]]&lt;&gt;SUMIF(tblSettlement[TransactionID],tblTransactions[[#This Row],[TransactionID]],tblSettlement[SettledAmount]))," R6 - Settlement Amount Mismatch", "")</f>
        <v/>
      </c>
      <c r="O313" t="str">
        <f>IF(AND(tblTransactions[[#This Row],[CustomerRef]] &lt;&gt;"",COUNTIFS(tblTransactions[CustomerRef],tblTransactions[[#This Row],[CustomerRef]],tblTransactions[Amount],tblTransactions[[#This Row],[Amount]],tblTransactions[Date],tblTransactions[[#This Row],[Date]])&gt;1),"Yes","No")</f>
        <v>No</v>
      </c>
    </row>
    <row r="314" spans="1:15" x14ac:dyDescent="0.3">
      <c r="A314" t="s">
        <v>923</v>
      </c>
      <c r="B314" s="2">
        <v>46260.560416666667</v>
      </c>
      <c r="C314" t="s">
        <v>19</v>
      </c>
      <c r="D314" t="s">
        <v>69</v>
      </c>
      <c r="E314" s="6">
        <v>61206.79</v>
      </c>
      <c r="F314" t="s">
        <v>11</v>
      </c>
      <c r="G314" t="s">
        <v>924</v>
      </c>
      <c r="H314" t="s">
        <v>925</v>
      </c>
      <c r="I314" s="116">
        <f>INT(tblTransactions[[#This Row],[TransactionDate]])</f>
        <v>46260</v>
      </c>
      <c r="J314" t="str">
        <f>IF(tblTransactions[[#This Row],[ApprovalID]]="", "R2 - Missing Approval Reference", "")</f>
        <v/>
      </c>
      <c r="K314" t="str">
        <f>IF(AND(tblTransactions[[#This Row],[ApprovalID]]&lt;&gt;"",COUNTIFS(tblApprovals[TransactionID],tblTransactions[[#This Row],[TransactionID]],tblApprovals[ApprovalID],tblTransactions[[#This Row],[ApprovalID]])=0),"R3 - Missing or Mismatched Approval Record", "")</f>
        <v/>
      </c>
      <c r="L31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4" t="str">
        <f>IF(AND(tblTransactions[[#This Row],[TransactionStatus]]="Success",COUNTIF(tblSettlement[TransactionID],tblTransactions[[#This Row],[TransactionID]])=0)," R5 - Successful Transaction Not Settled", "")</f>
        <v xml:space="preserve"> R5 - Successful Transaction Not Settled</v>
      </c>
      <c r="N314" t="str">
        <f>IF(AND(COUNTIF(tblSettlement[TransactionID],tblTransactions[[#This Row],[TransactionID]])&gt;0,tblTransactions[[#This Row],[Amount]]&lt;&gt;SUMIF(tblSettlement[TransactionID],tblTransactions[[#This Row],[TransactionID]],tblSettlement[SettledAmount]))," R6 - Settlement Amount Mismatch", "")</f>
        <v/>
      </c>
      <c r="O314" t="str">
        <f>IF(AND(tblTransactions[[#This Row],[CustomerRef]] &lt;&gt;"",COUNTIFS(tblTransactions[CustomerRef],tblTransactions[[#This Row],[CustomerRef]],tblTransactions[Amount],tblTransactions[[#This Row],[Amount]],tblTransactions[Date],tblTransactions[[#This Row],[Date]])&gt;1),"Yes","No")</f>
        <v>No</v>
      </c>
    </row>
    <row r="315" spans="1:15" x14ac:dyDescent="0.3">
      <c r="A315" t="s">
        <v>926</v>
      </c>
      <c r="B315" s="2">
        <v>46265.549305555556</v>
      </c>
      <c r="C315" t="s">
        <v>24</v>
      </c>
      <c r="D315" t="s">
        <v>29</v>
      </c>
      <c r="E315" s="6">
        <v>72351.95</v>
      </c>
      <c r="F315" t="s">
        <v>111</v>
      </c>
      <c r="G315" t="s">
        <v>927</v>
      </c>
      <c r="H315" t="s">
        <v>928</v>
      </c>
      <c r="I315" s="116">
        <f>INT(tblTransactions[[#This Row],[TransactionDate]])</f>
        <v>46265</v>
      </c>
      <c r="J315" t="str">
        <f>IF(tblTransactions[[#This Row],[ApprovalID]]="", "R2 - Missing Approval Reference", "")</f>
        <v/>
      </c>
      <c r="K315" t="str">
        <f>IF(AND(tblTransactions[[#This Row],[ApprovalID]]&lt;&gt;"",COUNTIFS(tblApprovals[TransactionID],tblTransactions[[#This Row],[TransactionID]],tblApprovals[ApprovalID],tblTransactions[[#This Row],[ApprovalID]])=0),"R3 - Missing or Mismatched Approval Record", "")</f>
        <v/>
      </c>
      <c r="L31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5" t="str">
        <f>IF(AND(tblTransactions[[#This Row],[TransactionStatus]]="Success",COUNTIF(tblSettlement[TransactionID],tblTransactions[[#This Row],[TransactionID]])=0)," R5 - Successful Transaction Not Settled", "")</f>
        <v/>
      </c>
      <c r="N315" t="str">
        <f>IF(AND(COUNTIF(tblSettlement[TransactionID],tblTransactions[[#This Row],[TransactionID]])&gt;0,tblTransactions[[#This Row],[Amount]]&lt;&gt;SUMIF(tblSettlement[TransactionID],tblTransactions[[#This Row],[TransactionID]],tblSettlement[SettledAmount]))," R6 - Settlement Amount Mismatch", "")</f>
        <v/>
      </c>
      <c r="O315" t="str">
        <f>IF(AND(tblTransactions[[#This Row],[CustomerRef]] &lt;&gt;"",COUNTIFS(tblTransactions[CustomerRef],tblTransactions[[#This Row],[CustomerRef]],tblTransactions[Amount],tblTransactions[[#This Row],[Amount]],tblTransactions[Date],tblTransactions[[#This Row],[Date]])&gt;1),"Yes","No")</f>
        <v>No</v>
      </c>
    </row>
    <row r="316" spans="1:15" x14ac:dyDescent="0.3">
      <c r="A316" t="s">
        <v>929</v>
      </c>
      <c r="B316" s="2">
        <v>46245.595138888886</v>
      </c>
      <c r="C316" t="s">
        <v>47</v>
      </c>
      <c r="D316" t="s">
        <v>15</v>
      </c>
      <c r="E316" s="6">
        <v>61282.97</v>
      </c>
      <c r="F316" t="s">
        <v>11</v>
      </c>
      <c r="G316" t="s">
        <v>930</v>
      </c>
      <c r="H316" t="s">
        <v>931</v>
      </c>
      <c r="I316" s="116">
        <f>INT(tblTransactions[[#This Row],[TransactionDate]])</f>
        <v>46245</v>
      </c>
      <c r="J316" t="str">
        <f>IF(tblTransactions[[#This Row],[ApprovalID]]="", "R2 - Missing Approval Reference", "")</f>
        <v/>
      </c>
      <c r="K316" t="str">
        <f>IF(AND(tblTransactions[[#This Row],[ApprovalID]]&lt;&gt;"",COUNTIFS(tblApprovals[TransactionID],tblTransactions[[#This Row],[TransactionID]],tblApprovals[ApprovalID],tblTransactions[[#This Row],[ApprovalID]])=0),"R3 - Missing or Mismatched Approval Record", "")</f>
        <v/>
      </c>
      <c r="L31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6" t="str">
        <f>IF(AND(tblTransactions[[#This Row],[TransactionStatus]]="Success",COUNTIF(tblSettlement[TransactionID],tblTransactions[[#This Row],[TransactionID]])=0)," R5 - Successful Transaction Not Settled", "")</f>
        <v/>
      </c>
      <c r="N316" t="str">
        <f>IF(AND(COUNTIF(tblSettlement[TransactionID],tblTransactions[[#This Row],[TransactionID]])&gt;0,tblTransactions[[#This Row],[Amount]]&lt;&gt;SUMIF(tblSettlement[TransactionID],tblTransactions[[#This Row],[TransactionID]],tblSettlement[SettledAmount]))," R6 - Settlement Amount Mismatch", "")</f>
        <v/>
      </c>
      <c r="O316" t="str">
        <f>IF(AND(tblTransactions[[#This Row],[CustomerRef]] &lt;&gt;"",COUNTIFS(tblTransactions[CustomerRef],tblTransactions[[#This Row],[CustomerRef]],tblTransactions[Amount],tblTransactions[[#This Row],[Amount]],tblTransactions[Date],tblTransactions[[#This Row],[Date]])&gt;1),"Yes","No")</f>
        <v>No</v>
      </c>
    </row>
    <row r="317" spans="1:15" x14ac:dyDescent="0.3">
      <c r="A317" t="s">
        <v>932</v>
      </c>
      <c r="B317" s="2">
        <v>46227.78402777778</v>
      </c>
      <c r="C317" t="s">
        <v>43</v>
      </c>
      <c r="D317" t="s">
        <v>69</v>
      </c>
      <c r="E317" s="6">
        <v>41369.910000000003</v>
      </c>
      <c r="F317" t="s">
        <v>111</v>
      </c>
      <c r="G317" t="s">
        <v>933</v>
      </c>
      <c r="H317" t="s">
        <v>934</v>
      </c>
      <c r="I317" s="116">
        <f>INT(tblTransactions[[#This Row],[TransactionDate]])</f>
        <v>46227</v>
      </c>
      <c r="J317" t="str">
        <f>IF(tblTransactions[[#This Row],[ApprovalID]]="", "R2 - Missing Approval Reference", "")</f>
        <v/>
      </c>
      <c r="K317" t="str">
        <f>IF(AND(tblTransactions[[#This Row],[ApprovalID]]&lt;&gt;"",COUNTIFS(tblApprovals[TransactionID],tblTransactions[[#This Row],[TransactionID]],tblApprovals[ApprovalID],tblTransactions[[#This Row],[ApprovalID]])=0),"R3 - Missing or Mismatched Approval Record", "")</f>
        <v/>
      </c>
      <c r="L31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7" t="str">
        <f>IF(AND(tblTransactions[[#This Row],[TransactionStatus]]="Success",COUNTIF(tblSettlement[TransactionID],tblTransactions[[#This Row],[TransactionID]])=0)," R5 - Successful Transaction Not Settled", "")</f>
        <v/>
      </c>
      <c r="N317" t="str">
        <f>IF(AND(COUNTIF(tblSettlement[TransactionID],tblTransactions[[#This Row],[TransactionID]])&gt;0,tblTransactions[[#This Row],[Amount]]&lt;&gt;SUMIF(tblSettlement[TransactionID],tblTransactions[[#This Row],[TransactionID]],tblSettlement[SettledAmount]))," R6 - Settlement Amount Mismatch", "")</f>
        <v/>
      </c>
      <c r="O317" t="str">
        <f>IF(AND(tblTransactions[[#This Row],[CustomerRef]] &lt;&gt;"",COUNTIFS(tblTransactions[CustomerRef],tblTransactions[[#This Row],[CustomerRef]],tblTransactions[Amount],tblTransactions[[#This Row],[Amount]],tblTransactions[Date],tblTransactions[[#This Row],[Date]])&gt;1),"Yes","No")</f>
        <v>No</v>
      </c>
    </row>
    <row r="318" spans="1:15" x14ac:dyDescent="0.3">
      <c r="A318" t="s">
        <v>935</v>
      </c>
      <c r="B318" s="2">
        <v>46292.411111111112</v>
      </c>
      <c r="C318" t="s">
        <v>28</v>
      </c>
      <c r="D318" t="s">
        <v>29</v>
      </c>
      <c r="E318" s="6">
        <v>63622.15</v>
      </c>
      <c r="F318" t="s">
        <v>11</v>
      </c>
      <c r="G318" t="s">
        <v>936</v>
      </c>
      <c r="H318" t="s">
        <v>937</v>
      </c>
      <c r="I318" s="116">
        <f>INT(tblTransactions[[#This Row],[TransactionDate]])</f>
        <v>46292</v>
      </c>
      <c r="J318" t="str">
        <f>IF(tblTransactions[[#This Row],[ApprovalID]]="", "R2 - Missing Approval Reference", "")</f>
        <v/>
      </c>
      <c r="K318" t="str">
        <f>IF(AND(tblTransactions[[#This Row],[ApprovalID]]&lt;&gt;"",COUNTIFS(tblApprovals[TransactionID],tblTransactions[[#This Row],[TransactionID]],tblApprovals[ApprovalID],tblTransactions[[#This Row],[ApprovalID]])=0),"R3 - Missing or Mismatched Approval Record", "")</f>
        <v/>
      </c>
      <c r="L31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8" t="str">
        <f>IF(AND(tblTransactions[[#This Row],[TransactionStatus]]="Success",COUNTIF(tblSettlement[TransactionID],tblTransactions[[#This Row],[TransactionID]])=0)," R5 - Successful Transaction Not Settled", "")</f>
        <v/>
      </c>
      <c r="N318" t="str">
        <f>IF(AND(COUNTIF(tblSettlement[TransactionID],tblTransactions[[#This Row],[TransactionID]])&gt;0,tblTransactions[[#This Row],[Amount]]&lt;&gt;SUMIF(tblSettlement[TransactionID],tblTransactions[[#This Row],[TransactionID]],tblSettlement[SettledAmount]))," R6 - Settlement Amount Mismatch", "")</f>
        <v/>
      </c>
      <c r="O318" t="str">
        <f>IF(AND(tblTransactions[[#This Row],[CustomerRef]] &lt;&gt;"",COUNTIFS(tblTransactions[CustomerRef],tblTransactions[[#This Row],[CustomerRef]],tblTransactions[Amount],tblTransactions[[#This Row],[Amount]],tblTransactions[Date],tblTransactions[[#This Row],[Date]])&gt;1),"Yes","No")</f>
        <v>No</v>
      </c>
    </row>
    <row r="319" spans="1:15" x14ac:dyDescent="0.3">
      <c r="A319" t="s">
        <v>938</v>
      </c>
      <c r="B319" s="2">
        <v>46234.529166666667</v>
      </c>
      <c r="C319" t="s">
        <v>43</v>
      </c>
      <c r="D319" t="s">
        <v>10</v>
      </c>
      <c r="E319" s="6">
        <v>11772.21</v>
      </c>
      <c r="F319" t="s">
        <v>11</v>
      </c>
      <c r="G319" t="s">
        <v>939</v>
      </c>
      <c r="H319" t="s">
        <v>940</v>
      </c>
      <c r="I319" s="116">
        <f>INT(tblTransactions[[#This Row],[TransactionDate]])</f>
        <v>46234</v>
      </c>
      <c r="J319" t="str">
        <f>IF(tblTransactions[[#This Row],[ApprovalID]]="", "R2 - Missing Approval Reference", "")</f>
        <v/>
      </c>
      <c r="K319" t="str">
        <f>IF(AND(tblTransactions[[#This Row],[ApprovalID]]&lt;&gt;"",COUNTIFS(tblApprovals[TransactionID],tblTransactions[[#This Row],[TransactionID]],tblApprovals[ApprovalID],tblTransactions[[#This Row],[ApprovalID]])=0),"R3 - Missing or Mismatched Approval Record", "")</f>
        <v/>
      </c>
      <c r="L31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19" t="str">
        <f>IF(AND(tblTransactions[[#This Row],[TransactionStatus]]="Success",COUNTIF(tblSettlement[TransactionID],tblTransactions[[#This Row],[TransactionID]])=0)," R5 - Successful Transaction Not Settled", "")</f>
        <v/>
      </c>
      <c r="N319" t="str">
        <f>IF(AND(COUNTIF(tblSettlement[TransactionID],tblTransactions[[#This Row],[TransactionID]])&gt;0,tblTransactions[[#This Row],[Amount]]&lt;&gt;SUMIF(tblSettlement[TransactionID],tblTransactions[[#This Row],[TransactionID]],tblSettlement[SettledAmount]))," R6 - Settlement Amount Mismatch", "")</f>
        <v/>
      </c>
      <c r="O319" t="str">
        <f>IF(AND(tblTransactions[[#This Row],[CustomerRef]] &lt;&gt;"",COUNTIFS(tblTransactions[CustomerRef],tblTransactions[[#This Row],[CustomerRef]],tblTransactions[Amount],tblTransactions[[#This Row],[Amount]],tblTransactions[Date],tblTransactions[[#This Row],[Date]])&gt;1),"Yes","No")</f>
        <v>No</v>
      </c>
    </row>
    <row r="320" spans="1:15" x14ac:dyDescent="0.3">
      <c r="A320" t="s">
        <v>941</v>
      </c>
      <c r="B320" s="2">
        <v>46278.606944444444</v>
      </c>
      <c r="C320" t="s">
        <v>28</v>
      </c>
      <c r="D320" t="s">
        <v>29</v>
      </c>
      <c r="E320" s="6">
        <v>38119.300000000003</v>
      </c>
      <c r="F320" t="s">
        <v>111</v>
      </c>
      <c r="G320" t="s">
        <v>942</v>
      </c>
      <c r="H320" t="s">
        <v>943</v>
      </c>
      <c r="I320" s="116">
        <f>INT(tblTransactions[[#This Row],[TransactionDate]])</f>
        <v>46278</v>
      </c>
      <c r="J320" t="str">
        <f>IF(tblTransactions[[#This Row],[ApprovalID]]="", "R2 - Missing Approval Reference", "")</f>
        <v/>
      </c>
      <c r="K320" t="str">
        <f>IF(AND(tblTransactions[[#This Row],[ApprovalID]]&lt;&gt;"",COUNTIFS(tblApprovals[TransactionID],tblTransactions[[#This Row],[TransactionID]],tblApprovals[ApprovalID],tblTransactions[[#This Row],[ApprovalID]])=0),"R3 - Missing or Mismatched Approval Record", "")</f>
        <v/>
      </c>
      <c r="L32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0" t="str">
        <f>IF(AND(tblTransactions[[#This Row],[TransactionStatus]]="Success",COUNTIF(tblSettlement[TransactionID],tblTransactions[[#This Row],[TransactionID]])=0)," R5 - Successful Transaction Not Settled", "")</f>
        <v/>
      </c>
      <c r="N320" t="str">
        <f>IF(AND(COUNTIF(tblSettlement[TransactionID],tblTransactions[[#This Row],[TransactionID]])&gt;0,tblTransactions[[#This Row],[Amount]]&lt;&gt;SUMIF(tblSettlement[TransactionID],tblTransactions[[#This Row],[TransactionID]],tblSettlement[SettledAmount]))," R6 - Settlement Amount Mismatch", "")</f>
        <v/>
      </c>
      <c r="O320" t="str">
        <f>IF(AND(tblTransactions[[#This Row],[CustomerRef]] &lt;&gt;"",COUNTIFS(tblTransactions[CustomerRef],tblTransactions[[#This Row],[CustomerRef]],tblTransactions[Amount],tblTransactions[[#This Row],[Amount]],tblTransactions[Date],tblTransactions[[#This Row],[Date]])&gt;1),"Yes","No")</f>
        <v>No</v>
      </c>
    </row>
    <row r="321" spans="1:15" x14ac:dyDescent="0.3">
      <c r="A321" t="s">
        <v>944</v>
      </c>
      <c r="B321" s="2">
        <v>46293.95208333333</v>
      </c>
      <c r="C321" t="s">
        <v>47</v>
      </c>
      <c r="D321" t="s">
        <v>10</v>
      </c>
      <c r="E321" s="6">
        <v>40383.72</v>
      </c>
      <c r="F321" t="s">
        <v>11</v>
      </c>
      <c r="G321" t="s">
        <v>945</v>
      </c>
      <c r="H321" t="s">
        <v>946</v>
      </c>
      <c r="I321" s="116">
        <f>INT(tblTransactions[[#This Row],[TransactionDate]])</f>
        <v>46293</v>
      </c>
      <c r="J321" t="str">
        <f>IF(tblTransactions[[#This Row],[ApprovalID]]="", "R2 - Missing Approval Reference", "")</f>
        <v/>
      </c>
      <c r="K321" t="str">
        <f>IF(AND(tblTransactions[[#This Row],[ApprovalID]]&lt;&gt;"",COUNTIFS(tblApprovals[TransactionID],tblTransactions[[#This Row],[TransactionID]],tblApprovals[ApprovalID],tblTransactions[[#This Row],[ApprovalID]])=0),"R3 - Missing or Mismatched Approval Record", "")</f>
        <v/>
      </c>
      <c r="L32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1" t="str">
        <f>IF(AND(tblTransactions[[#This Row],[TransactionStatus]]="Success",COUNTIF(tblSettlement[TransactionID],tblTransactions[[#This Row],[TransactionID]])=0)," R5 - Successful Transaction Not Settled", "")</f>
        <v/>
      </c>
      <c r="N321" t="str">
        <f>IF(AND(COUNTIF(tblSettlement[TransactionID],tblTransactions[[#This Row],[TransactionID]])&gt;0,tblTransactions[[#This Row],[Amount]]&lt;&gt;SUMIF(tblSettlement[TransactionID],tblTransactions[[#This Row],[TransactionID]],tblSettlement[SettledAmount]))," R6 - Settlement Amount Mismatch", "")</f>
        <v/>
      </c>
      <c r="O321" t="str">
        <f>IF(AND(tblTransactions[[#This Row],[CustomerRef]] &lt;&gt;"",COUNTIFS(tblTransactions[CustomerRef],tblTransactions[[#This Row],[CustomerRef]],tblTransactions[Amount],tblTransactions[[#This Row],[Amount]],tblTransactions[Date],tblTransactions[[#This Row],[Date]])&gt;1),"Yes","No")</f>
        <v>No</v>
      </c>
    </row>
    <row r="322" spans="1:15" x14ac:dyDescent="0.3">
      <c r="A322" t="s">
        <v>947</v>
      </c>
      <c r="B322" s="2">
        <v>46225.777083333334</v>
      </c>
      <c r="C322" t="s">
        <v>28</v>
      </c>
      <c r="D322" t="s">
        <v>29</v>
      </c>
      <c r="E322" s="6">
        <v>3561.18</v>
      </c>
      <c r="F322" t="s">
        <v>36</v>
      </c>
      <c r="G322" t="s">
        <v>948</v>
      </c>
      <c r="H322" t="s">
        <v>949</v>
      </c>
      <c r="I322" s="116">
        <f>INT(tblTransactions[[#This Row],[TransactionDate]])</f>
        <v>46225</v>
      </c>
      <c r="J322" t="str">
        <f>IF(tblTransactions[[#This Row],[ApprovalID]]="", "R2 - Missing Approval Reference", "")</f>
        <v/>
      </c>
      <c r="K322" t="str">
        <f>IF(AND(tblTransactions[[#This Row],[ApprovalID]]&lt;&gt;"",COUNTIFS(tblApprovals[TransactionID],tblTransactions[[#This Row],[TransactionID]],tblApprovals[ApprovalID],tblTransactions[[#This Row],[ApprovalID]])=0),"R3 - Missing or Mismatched Approval Record", "")</f>
        <v/>
      </c>
      <c r="L32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2" t="str">
        <f>IF(AND(tblTransactions[[#This Row],[TransactionStatus]]="Success",COUNTIF(tblSettlement[TransactionID],tblTransactions[[#This Row],[TransactionID]])=0)," R5 - Successful Transaction Not Settled", "")</f>
        <v/>
      </c>
      <c r="N322" t="str">
        <f>IF(AND(COUNTIF(tblSettlement[TransactionID],tblTransactions[[#This Row],[TransactionID]])&gt;0,tblTransactions[[#This Row],[Amount]]&lt;&gt;SUMIF(tblSettlement[TransactionID],tblTransactions[[#This Row],[TransactionID]],tblSettlement[SettledAmount]))," R6 - Settlement Amount Mismatch", "")</f>
        <v/>
      </c>
      <c r="O322" t="str">
        <f>IF(AND(tblTransactions[[#This Row],[CustomerRef]] &lt;&gt;"",COUNTIFS(tblTransactions[CustomerRef],tblTransactions[[#This Row],[CustomerRef]],tblTransactions[Amount],tblTransactions[[#This Row],[Amount]],tblTransactions[Date],tblTransactions[[#This Row],[Date]])&gt;1),"Yes","No")</f>
        <v>No</v>
      </c>
    </row>
    <row r="323" spans="1:15" x14ac:dyDescent="0.3">
      <c r="A323" t="s">
        <v>950</v>
      </c>
      <c r="B323" s="2">
        <v>46259.375</v>
      </c>
      <c r="C323" t="s">
        <v>28</v>
      </c>
      <c r="D323" t="s">
        <v>15</v>
      </c>
      <c r="E323" s="6">
        <v>7620.84</v>
      </c>
      <c r="F323" t="s">
        <v>11</v>
      </c>
      <c r="G323" t="s">
        <v>951</v>
      </c>
      <c r="H323" t="s">
        <v>952</v>
      </c>
      <c r="I323" s="116">
        <f>INT(tblTransactions[[#This Row],[TransactionDate]])</f>
        <v>46259</v>
      </c>
      <c r="J323" t="str">
        <f>IF(tblTransactions[[#This Row],[ApprovalID]]="", "R2 - Missing Approval Reference", "")</f>
        <v/>
      </c>
      <c r="K323" t="str">
        <f>IF(AND(tblTransactions[[#This Row],[ApprovalID]]&lt;&gt;"",COUNTIFS(tblApprovals[TransactionID],tblTransactions[[#This Row],[TransactionID]],tblApprovals[ApprovalID],tblTransactions[[#This Row],[ApprovalID]])=0),"R3 - Missing or Mismatched Approval Record", "")</f>
        <v/>
      </c>
      <c r="L32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3" t="str">
        <f>IF(AND(tblTransactions[[#This Row],[TransactionStatus]]="Success",COUNTIF(tblSettlement[TransactionID],tblTransactions[[#This Row],[TransactionID]])=0)," R5 - Successful Transaction Not Settled", "")</f>
        <v/>
      </c>
      <c r="N323" t="str">
        <f>IF(AND(COUNTIF(tblSettlement[TransactionID],tblTransactions[[#This Row],[TransactionID]])&gt;0,tblTransactions[[#This Row],[Amount]]&lt;&gt;SUMIF(tblSettlement[TransactionID],tblTransactions[[#This Row],[TransactionID]],tblSettlement[SettledAmount]))," R6 - Settlement Amount Mismatch", "")</f>
        <v/>
      </c>
      <c r="O323" t="str">
        <f>IF(AND(tblTransactions[[#This Row],[CustomerRef]] &lt;&gt;"",COUNTIFS(tblTransactions[CustomerRef],tblTransactions[[#This Row],[CustomerRef]],tblTransactions[Amount],tblTransactions[[#This Row],[Amount]],tblTransactions[Date],tblTransactions[[#This Row],[Date]])&gt;1),"Yes","No")</f>
        <v>No</v>
      </c>
    </row>
    <row r="324" spans="1:15" x14ac:dyDescent="0.3">
      <c r="A324" t="s">
        <v>953</v>
      </c>
      <c r="B324" s="2">
        <v>46261.559027777781</v>
      </c>
      <c r="C324" t="s">
        <v>28</v>
      </c>
      <c r="D324" t="s">
        <v>15</v>
      </c>
      <c r="E324" s="6">
        <v>34863.97</v>
      </c>
      <c r="F324" t="s">
        <v>11</v>
      </c>
      <c r="G324" t="s">
        <v>954</v>
      </c>
      <c r="H324" t="s">
        <v>955</v>
      </c>
      <c r="I324" s="116">
        <f>INT(tblTransactions[[#This Row],[TransactionDate]])</f>
        <v>46261</v>
      </c>
      <c r="J324" t="str">
        <f>IF(tblTransactions[[#This Row],[ApprovalID]]="", "R2 - Missing Approval Reference", "")</f>
        <v/>
      </c>
      <c r="K324" t="str">
        <f>IF(AND(tblTransactions[[#This Row],[ApprovalID]]&lt;&gt;"",COUNTIFS(tblApprovals[TransactionID],tblTransactions[[#This Row],[TransactionID]],tblApprovals[ApprovalID],tblTransactions[[#This Row],[ApprovalID]])=0),"R3 - Missing or Mismatched Approval Record", "")</f>
        <v/>
      </c>
      <c r="L32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4" t="str">
        <f>IF(AND(tblTransactions[[#This Row],[TransactionStatus]]="Success",COUNTIF(tblSettlement[TransactionID],tblTransactions[[#This Row],[TransactionID]])=0)," R5 - Successful Transaction Not Settled", "")</f>
        <v/>
      </c>
      <c r="N324" t="str">
        <f>IF(AND(COUNTIF(tblSettlement[TransactionID],tblTransactions[[#This Row],[TransactionID]])&gt;0,tblTransactions[[#This Row],[Amount]]&lt;&gt;SUMIF(tblSettlement[TransactionID],tblTransactions[[#This Row],[TransactionID]],tblSettlement[SettledAmount]))," R6 - Settlement Amount Mismatch", "")</f>
        <v/>
      </c>
      <c r="O324" t="str">
        <f>IF(AND(tblTransactions[[#This Row],[CustomerRef]] &lt;&gt;"",COUNTIFS(tblTransactions[CustomerRef],tblTransactions[[#This Row],[CustomerRef]],tblTransactions[Amount],tblTransactions[[#This Row],[Amount]],tblTransactions[Date],tblTransactions[[#This Row],[Date]])&gt;1),"Yes","No")</f>
        <v>No</v>
      </c>
    </row>
    <row r="325" spans="1:15" x14ac:dyDescent="0.3">
      <c r="A325" t="s">
        <v>956</v>
      </c>
      <c r="B325" s="2">
        <v>46265.387499999997</v>
      </c>
      <c r="C325" t="s">
        <v>47</v>
      </c>
      <c r="D325" t="s">
        <v>69</v>
      </c>
      <c r="E325" s="6">
        <v>31344.16</v>
      </c>
      <c r="F325" t="s">
        <v>111</v>
      </c>
      <c r="G325" t="s">
        <v>957</v>
      </c>
      <c r="H325" t="s">
        <v>958</v>
      </c>
      <c r="I325" s="116">
        <f>INT(tblTransactions[[#This Row],[TransactionDate]])</f>
        <v>46265</v>
      </c>
      <c r="J325" t="str">
        <f>IF(tblTransactions[[#This Row],[ApprovalID]]="", "R2 - Missing Approval Reference", "")</f>
        <v/>
      </c>
      <c r="K325" t="str">
        <f>IF(AND(tblTransactions[[#This Row],[ApprovalID]]&lt;&gt;"",COUNTIFS(tblApprovals[TransactionID],tblTransactions[[#This Row],[TransactionID]],tblApprovals[ApprovalID],tblTransactions[[#This Row],[ApprovalID]])=0),"R3 - Missing or Mismatched Approval Record", "")</f>
        <v/>
      </c>
      <c r="L32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5" t="str">
        <f>IF(AND(tblTransactions[[#This Row],[TransactionStatus]]="Success",COUNTIF(tblSettlement[TransactionID],tblTransactions[[#This Row],[TransactionID]])=0)," R5 - Successful Transaction Not Settled", "")</f>
        <v/>
      </c>
      <c r="N325" t="str">
        <f>IF(AND(COUNTIF(tblSettlement[TransactionID],tblTransactions[[#This Row],[TransactionID]])&gt;0,tblTransactions[[#This Row],[Amount]]&lt;&gt;SUMIF(tblSettlement[TransactionID],tblTransactions[[#This Row],[TransactionID]],tblSettlement[SettledAmount]))," R6 - Settlement Amount Mismatch", "")</f>
        <v/>
      </c>
      <c r="O325" t="str">
        <f>IF(AND(tblTransactions[[#This Row],[CustomerRef]] &lt;&gt;"",COUNTIFS(tblTransactions[CustomerRef],tblTransactions[[#This Row],[CustomerRef]],tblTransactions[Amount],tblTransactions[[#This Row],[Amount]],tblTransactions[Date],tblTransactions[[#This Row],[Date]])&gt;1),"Yes","No")</f>
        <v>No</v>
      </c>
    </row>
    <row r="326" spans="1:15" x14ac:dyDescent="0.3">
      <c r="A326" t="s">
        <v>959</v>
      </c>
      <c r="B326" s="2">
        <v>46262.842361111114</v>
      </c>
      <c r="C326" t="s">
        <v>47</v>
      </c>
      <c r="D326" t="s">
        <v>29</v>
      </c>
      <c r="E326" s="6">
        <v>39203.33</v>
      </c>
      <c r="F326" t="s">
        <v>11</v>
      </c>
      <c r="G326" t="s">
        <v>960</v>
      </c>
      <c r="H326" t="s">
        <v>961</v>
      </c>
      <c r="I326" s="116">
        <f>INT(tblTransactions[[#This Row],[TransactionDate]])</f>
        <v>46262</v>
      </c>
      <c r="J326" t="str">
        <f>IF(tblTransactions[[#This Row],[ApprovalID]]="", "R2 - Missing Approval Reference", "")</f>
        <v/>
      </c>
      <c r="K326" t="str">
        <f>IF(AND(tblTransactions[[#This Row],[ApprovalID]]&lt;&gt;"",COUNTIFS(tblApprovals[TransactionID],tblTransactions[[#This Row],[TransactionID]],tblApprovals[ApprovalID],tblTransactions[[#This Row],[ApprovalID]])=0),"R3 - Missing or Mismatched Approval Record", "")</f>
        <v/>
      </c>
      <c r="L32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6" t="str">
        <f>IF(AND(tblTransactions[[#This Row],[TransactionStatus]]="Success",COUNTIF(tblSettlement[TransactionID],tblTransactions[[#This Row],[TransactionID]])=0)," R5 - Successful Transaction Not Settled", "")</f>
        <v/>
      </c>
      <c r="N326" t="str">
        <f>IF(AND(COUNTIF(tblSettlement[TransactionID],tblTransactions[[#This Row],[TransactionID]])&gt;0,tblTransactions[[#This Row],[Amount]]&lt;&gt;SUMIF(tblSettlement[TransactionID],tblTransactions[[#This Row],[TransactionID]],tblSettlement[SettledAmount]))," R6 - Settlement Amount Mismatch", "")</f>
        <v/>
      </c>
      <c r="O326" t="str">
        <f>IF(AND(tblTransactions[[#This Row],[CustomerRef]] &lt;&gt;"",COUNTIFS(tblTransactions[CustomerRef],tblTransactions[[#This Row],[CustomerRef]],tblTransactions[Amount],tblTransactions[[#This Row],[Amount]],tblTransactions[Date],tblTransactions[[#This Row],[Date]])&gt;1),"Yes","No")</f>
        <v>No</v>
      </c>
    </row>
    <row r="327" spans="1:15" x14ac:dyDescent="0.3">
      <c r="A327" t="s">
        <v>962</v>
      </c>
      <c r="B327" s="2">
        <v>46244.388194444444</v>
      </c>
      <c r="C327" t="s">
        <v>47</v>
      </c>
      <c r="D327" t="s">
        <v>20</v>
      </c>
      <c r="E327" s="6">
        <v>3590.06</v>
      </c>
      <c r="F327" t="s">
        <v>11</v>
      </c>
      <c r="G327" t="s">
        <v>963</v>
      </c>
      <c r="H327" t="s">
        <v>964</v>
      </c>
      <c r="I327" s="116">
        <f>INT(tblTransactions[[#This Row],[TransactionDate]])</f>
        <v>46244</v>
      </c>
      <c r="J327" t="str">
        <f>IF(tblTransactions[[#This Row],[ApprovalID]]="", "R2 - Missing Approval Reference", "")</f>
        <v/>
      </c>
      <c r="K327" t="str">
        <f>IF(AND(tblTransactions[[#This Row],[ApprovalID]]&lt;&gt;"",COUNTIFS(tblApprovals[TransactionID],tblTransactions[[#This Row],[TransactionID]],tblApprovals[ApprovalID],tblTransactions[[#This Row],[ApprovalID]])=0),"R3 - Missing or Mismatched Approval Record", "")</f>
        <v/>
      </c>
      <c r="L32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7" t="str">
        <f>IF(AND(tblTransactions[[#This Row],[TransactionStatus]]="Success",COUNTIF(tblSettlement[TransactionID],tblTransactions[[#This Row],[TransactionID]])=0)," R5 - Successful Transaction Not Settled", "")</f>
        <v xml:space="preserve"> R5 - Successful Transaction Not Settled</v>
      </c>
      <c r="N327" t="str">
        <f>IF(AND(COUNTIF(tblSettlement[TransactionID],tblTransactions[[#This Row],[TransactionID]])&gt;0,tblTransactions[[#This Row],[Amount]]&lt;&gt;SUMIF(tblSettlement[TransactionID],tblTransactions[[#This Row],[TransactionID]],tblSettlement[SettledAmount]))," R6 - Settlement Amount Mismatch", "")</f>
        <v/>
      </c>
      <c r="O327" t="str">
        <f>IF(AND(tblTransactions[[#This Row],[CustomerRef]] &lt;&gt;"",COUNTIFS(tblTransactions[CustomerRef],tblTransactions[[#This Row],[CustomerRef]],tblTransactions[Amount],tblTransactions[[#This Row],[Amount]],tblTransactions[Date],tblTransactions[[#This Row],[Date]])&gt;1),"Yes","No")</f>
        <v>No</v>
      </c>
    </row>
    <row r="328" spans="1:15" x14ac:dyDescent="0.3">
      <c r="A328" t="s">
        <v>965</v>
      </c>
      <c r="B328" s="2">
        <v>46235.674305555556</v>
      </c>
      <c r="C328" t="s">
        <v>43</v>
      </c>
      <c r="D328" t="s">
        <v>29</v>
      </c>
      <c r="E328" s="6">
        <v>41505.29</v>
      </c>
      <c r="F328" t="s">
        <v>11</v>
      </c>
      <c r="G328" t="s">
        <v>966</v>
      </c>
      <c r="H328" t="s">
        <v>494</v>
      </c>
      <c r="I328" s="116">
        <f>INT(tblTransactions[[#This Row],[TransactionDate]])</f>
        <v>46235</v>
      </c>
      <c r="J328" t="str">
        <f>IF(tblTransactions[[#This Row],[ApprovalID]]="", "R2 - Missing Approval Reference", "")</f>
        <v/>
      </c>
      <c r="K328" t="str">
        <f>IF(AND(tblTransactions[[#This Row],[ApprovalID]]&lt;&gt;"",COUNTIFS(tblApprovals[TransactionID],tblTransactions[[#This Row],[TransactionID]],tblApprovals[ApprovalID],tblTransactions[[#This Row],[ApprovalID]])=0),"R3 - Missing or Mismatched Approval Record", "")</f>
        <v/>
      </c>
      <c r="L32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8" t="str">
        <f>IF(AND(tblTransactions[[#This Row],[TransactionStatus]]="Success",COUNTIF(tblSettlement[TransactionID],tblTransactions[[#This Row],[TransactionID]])=0)," R5 - Successful Transaction Not Settled", "")</f>
        <v/>
      </c>
      <c r="N328" t="str">
        <f>IF(AND(COUNTIF(tblSettlement[TransactionID],tblTransactions[[#This Row],[TransactionID]])&gt;0,tblTransactions[[#This Row],[Amount]]&lt;&gt;SUMIF(tblSettlement[TransactionID],tblTransactions[[#This Row],[TransactionID]],tblSettlement[SettledAmount]))," R6 - Settlement Amount Mismatch", "")</f>
        <v/>
      </c>
      <c r="O328" t="str">
        <f>IF(AND(tblTransactions[[#This Row],[CustomerRef]] &lt;&gt;"",COUNTIFS(tblTransactions[CustomerRef],tblTransactions[[#This Row],[CustomerRef]],tblTransactions[Amount],tblTransactions[[#This Row],[Amount]],tblTransactions[Date],tblTransactions[[#This Row],[Date]])&gt;1),"Yes","No")</f>
        <v>No</v>
      </c>
    </row>
    <row r="329" spans="1:15" x14ac:dyDescent="0.3">
      <c r="A329" t="s">
        <v>967</v>
      </c>
      <c r="B329" s="2">
        <v>46284.424305555556</v>
      </c>
      <c r="C329" t="s">
        <v>47</v>
      </c>
      <c r="D329" t="s">
        <v>15</v>
      </c>
      <c r="E329" s="6">
        <v>48125.8</v>
      </c>
      <c r="F329" t="s">
        <v>11</v>
      </c>
      <c r="G329" t="s">
        <v>968</v>
      </c>
      <c r="H329" t="s">
        <v>969</v>
      </c>
      <c r="I329" s="116">
        <f>INT(tblTransactions[[#This Row],[TransactionDate]])</f>
        <v>46284</v>
      </c>
      <c r="J329" t="str">
        <f>IF(tblTransactions[[#This Row],[ApprovalID]]="", "R2 - Missing Approval Reference", "")</f>
        <v/>
      </c>
      <c r="K329" t="str">
        <f>IF(AND(tblTransactions[[#This Row],[ApprovalID]]&lt;&gt;"",COUNTIFS(tblApprovals[TransactionID],tblTransactions[[#This Row],[TransactionID]],tblApprovals[ApprovalID],tblTransactions[[#This Row],[ApprovalID]])=0),"R3 - Missing or Mismatched Approval Record", "")</f>
        <v/>
      </c>
      <c r="L32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29" t="str">
        <f>IF(AND(tblTransactions[[#This Row],[TransactionStatus]]="Success",COUNTIF(tblSettlement[TransactionID],tblTransactions[[#This Row],[TransactionID]])=0)," R5 - Successful Transaction Not Settled", "")</f>
        <v/>
      </c>
      <c r="N329" t="str">
        <f>IF(AND(COUNTIF(tblSettlement[TransactionID],tblTransactions[[#This Row],[TransactionID]])&gt;0,tblTransactions[[#This Row],[Amount]]&lt;&gt;SUMIF(tblSettlement[TransactionID],tblTransactions[[#This Row],[TransactionID]],tblSettlement[SettledAmount]))," R6 - Settlement Amount Mismatch", "")</f>
        <v/>
      </c>
      <c r="O329" t="str">
        <f>IF(AND(tblTransactions[[#This Row],[CustomerRef]] &lt;&gt;"",COUNTIFS(tblTransactions[CustomerRef],tblTransactions[[#This Row],[CustomerRef]],tblTransactions[Amount],tblTransactions[[#This Row],[Amount]],tblTransactions[Date],tblTransactions[[#This Row],[Date]])&gt;1),"Yes","No")</f>
        <v>No</v>
      </c>
    </row>
    <row r="330" spans="1:15" x14ac:dyDescent="0.3">
      <c r="A330" t="s">
        <v>970</v>
      </c>
      <c r="B330" s="2">
        <v>46279.6</v>
      </c>
      <c r="C330" t="s">
        <v>24</v>
      </c>
      <c r="D330" t="s">
        <v>10</v>
      </c>
      <c r="E330" s="6">
        <v>582.64</v>
      </c>
      <c r="F330" t="s">
        <v>11</v>
      </c>
      <c r="G330" t="s">
        <v>971</v>
      </c>
      <c r="H330" t="s">
        <v>972</v>
      </c>
      <c r="I330" s="116">
        <f>INT(tblTransactions[[#This Row],[TransactionDate]])</f>
        <v>46279</v>
      </c>
      <c r="J330" t="str">
        <f>IF(tblTransactions[[#This Row],[ApprovalID]]="", "R2 - Missing Approval Reference", "")</f>
        <v/>
      </c>
      <c r="K330" t="str">
        <f>IF(AND(tblTransactions[[#This Row],[ApprovalID]]&lt;&gt;"",COUNTIFS(tblApprovals[TransactionID],tblTransactions[[#This Row],[TransactionID]],tblApprovals[ApprovalID],tblTransactions[[#This Row],[ApprovalID]])=0),"R3 - Missing or Mismatched Approval Record", "")</f>
        <v/>
      </c>
      <c r="L33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0" t="str">
        <f>IF(AND(tblTransactions[[#This Row],[TransactionStatus]]="Success",COUNTIF(tblSettlement[TransactionID],tblTransactions[[#This Row],[TransactionID]])=0)," R5 - Successful Transaction Not Settled", "")</f>
        <v/>
      </c>
      <c r="N330" t="str">
        <f>IF(AND(COUNTIF(tblSettlement[TransactionID],tblTransactions[[#This Row],[TransactionID]])&gt;0,tblTransactions[[#This Row],[Amount]]&lt;&gt;SUMIF(tblSettlement[TransactionID],tblTransactions[[#This Row],[TransactionID]],tblSettlement[SettledAmount]))," R6 - Settlement Amount Mismatch", "")</f>
        <v/>
      </c>
      <c r="O330" t="str">
        <f>IF(AND(tblTransactions[[#This Row],[CustomerRef]] &lt;&gt;"",COUNTIFS(tblTransactions[CustomerRef],tblTransactions[[#This Row],[CustomerRef]],tblTransactions[Amount],tblTransactions[[#This Row],[Amount]],tblTransactions[Date],tblTransactions[[#This Row],[Date]])&gt;1),"Yes","No")</f>
        <v>No</v>
      </c>
    </row>
    <row r="331" spans="1:15" x14ac:dyDescent="0.3">
      <c r="A331" t="s">
        <v>973</v>
      </c>
      <c r="B331" s="2">
        <v>46227.555555555555</v>
      </c>
      <c r="C331" t="s">
        <v>28</v>
      </c>
      <c r="D331" t="s">
        <v>29</v>
      </c>
      <c r="E331" s="6">
        <v>14981.3</v>
      </c>
      <c r="F331" t="s">
        <v>11</v>
      </c>
      <c r="G331" t="s">
        <v>974</v>
      </c>
      <c r="H331" t="s">
        <v>975</v>
      </c>
      <c r="I331" s="116">
        <f>INT(tblTransactions[[#This Row],[TransactionDate]])</f>
        <v>46227</v>
      </c>
      <c r="J331" t="str">
        <f>IF(tblTransactions[[#This Row],[ApprovalID]]="", "R2 - Missing Approval Reference", "")</f>
        <v/>
      </c>
      <c r="K331" t="str">
        <f>IF(AND(tblTransactions[[#This Row],[ApprovalID]]&lt;&gt;"",COUNTIFS(tblApprovals[TransactionID],tblTransactions[[#This Row],[TransactionID]],tblApprovals[ApprovalID],tblTransactions[[#This Row],[ApprovalID]])=0),"R3 - Missing or Mismatched Approval Record", "")</f>
        <v/>
      </c>
      <c r="L33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1" t="str">
        <f>IF(AND(tblTransactions[[#This Row],[TransactionStatus]]="Success",COUNTIF(tblSettlement[TransactionID],tblTransactions[[#This Row],[TransactionID]])=0)," R5 - Successful Transaction Not Settled", "")</f>
        <v/>
      </c>
      <c r="N331" t="str">
        <f>IF(AND(COUNTIF(tblSettlement[TransactionID],tblTransactions[[#This Row],[TransactionID]])&gt;0,tblTransactions[[#This Row],[Amount]]&lt;&gt;SUMIF(tblSettlement[TransactionID],tblTransactions[[#This Row],[TransactionID]],tblSettlement[SettledAmount]))," R6 - Settlement Amount Mismatch", "")</f>
        <v/>
      </c>
      <c r="O331" t="str">
        <f>IF(AND(tblTransactions[[#This Row],[CustomerRef]] &lt;&gt;"",COUNTIFS(tblTransactions[CustomerRef],tblTransactions[[#This Row],[CustomerRef]],tblTransactions[Amount],tblTransactions[[#This Row],[Amount]],tblTransactions[Date],tblTransactions[[#This Row],[Date]])&gt;1),"Yes","No")</f>
        <v>No</v>
      </c>
    </row>
    <row r="332" spans="1:15" x14ac:dyDescent="0.3">
      <c r="A332" t="s">
        <v>976</v>
      </c>
      <c r="B332" s="2">
        <v>46280.61041666667</v>
      </c>
      <c r="C332" t="s">
        <v>24</v>
      </c>
      <c r="D332" t="s">
        <v>29</v>
      </c>
      <c r="E332" s="6">
        <v>29592.66</v>
      </c>
      <c r="F332" t="s">
        <v>11</v>
      </c>
      <c r="G332" t="s">
        <v>977</v>
      </c>
      <c r="H332" t="s">
        <v>978</v>
      </c>
      <c r="I332" s="116">
        <f>INT(tblTransactions[[#This Row],[TransactionDate]])</f>
        <v>46280</v>
      </c>
      <c r="J332" t="str">
        <f>IF(tblTransactions[[#This Row],[ApprovalID]]="", "R2 - Missing Approval Reference", "")</f>
        <v/>
      </c>
      <c r="K332" t="str">
        <f>IF(AND(tblTransactions[[#This Row],[ApprovalID]]&lt;&gt;"",COUNTIFS(tblApprovals[TransactionID],tblTransactions[[#This Row],[TransactionID]],tblApprovals[ApprovalID],tblTransactions[[#This Row],[ApprovalID]])=0),"R3 - Missing or Mismatched Approval Record", "")</f>
        <v>R3 - Missing or Mismatched Approval Record</v>
      </c>
      <c r="L33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2" t="str">
        <f>IF(AND(tblTransactions[[#This Row],[TransactionStatus]]="Success",COUNTIF(tblSettlement[TransactionID],tblTransactions[[#This Row],[TransactionID]])=0)," R5 - Successful Transaction Not Settled", "")</f>
        <v/>
      </c>
      <c r="N332" t="str">
        <f>IF(AND(COUNTIF(tblSettlement[TransactionID],tblTransactions[[#This Row],[TransactionID]])&gt;0,tblTransactions[[#This Row],[Amount]]&lt;&gt;SUMIF(tblSettlement[TransactionID],tblTransactions[[#This Row],[TransactionID]],tblSettlement[SettledAmount]))," R6 - Settlement Amount Mismatch", "")</f>
        <v/>
      </c>
      <c r="O332" t="str">
        <f>IF(AND(tblTransactions[[#This Row],[CustomerRef]] &lt;&gt;"",COUNTIFS(tblTransactions[CustomerRef],tblTransactions[[#This Row],[CustomerRef]],tblTransactions[Amount],tblTransactions[[#This Row],[Amount]],tblTransactions[Date],tblTransactions[[#This Row],[Date]])&gt;1),"Yes","No")</f>
        <v>No</v>
      </c>
    </row>
    <row r="333" spans="1:15" x14ac:dyDescent="0.3">
      <c r="A333" t="s">
        <v>979</v>
      </c>
      <c r="B333" s="2">
        <v>46282.711805555555</v>
      </c>
      <c r="C333" t="s">
        <v>9</v>
      </c>
      <c r="D333" t="s">
        <v>20</v>
      </c>
      <c r="E333" s="6">
        <v>50490.23</v>
      </c>
      <c r="F333" t="s">
        <v>11</v>
      </c>
      <c r="G333" t="s">
        <v>980</v>
      </c>
      <c r="H333" t="s">
        <v>981</v>
      </c>
      <c r="I333" s="116">
        <f>INT(tblTransactions[[#This Row],[TransactionDate]])</f>
        <v>46282</v>
      </c>
      <c r="J333" t="str">
        <f>IF(tblTransactions[[#This Row],[ApprovalID]]="", "R2 - Missing Approval Reference", "")</f>
        <v/>
      </c>
      <c r="K333" t="str">
        <f>IF(AND(tblTransactions[[#This Row],[ApprovalID]]&lt;&gt;"",COUNTIFS(tblApprovals[TransactionID],tblTransactions[[#This Row],[TransactionID]],tblApprovals[ApprovalID],tblTransactions[[#This Row],[ApprovalID]])=0),"R3 - Missing or Mismatched Approval Record", "")</f>
        <v/>
      </c>
      <c r="L33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3" t="str">
        <f>IF(AND(tblTransactions[[#This Row],[TransactionStatus]]="Success",COUNTIF(tblSettlement[TransactionID],tblTransactions[[#This Row],[TransactionID]])=0)," R5 - Successful Transaction Not Settled", "")</f>
        <v/>
      </c>
      <c r="N333" t="str">
        <f>IF(AND(COUNTIF(tblSettlement[TransactionID],tblTransactions[[#This Row],[TransactionID]])&gt;0,tblTransactions[[#This Row],[Amount]]&lt;&gt;SUMIF(tblSettlement[TransactionID],tblTransactions[[#This Row],[TransactionID]],tblSettlement[SettledAmount]))," R6 - Settlement Amount Mismatch", "")</f>
        <v/>
      </c>
      <c r="O333" t="str">
        <f>IF(AND(tblTransactions[[#This Row],[CustomerRef]] &lt;&gt;"",COUNTIFS(tblTransactions[CustomerRef],tblTransactions[[#This Row],[CustomerRef]],tblTransactions[Amount],tblTransactions[[#This Row],[Amount]],tblTransactions[Date],tblTransactions[[#This Row],[Date]])&gt;1),"Yes","No")</f>
        <v>No</v>
      </c>
    </row>
    <row r="334" spans="1:15" x14ac:dyDescent="0.3">
      <c r="A334" t="s">
        <v>982</v>
      </c>
      <c r="B334" s="2">
        <v>46292.438888888886</v>
      </c>
      <c r="C334" t="s">
        <v>19</v>
      </c>
      <c r="D334" t="s">
        <v>29</v>
      </c>
      <c r="E334" s="6">
        <v>29287.63</v>
      </c>
      <c r="F334" t="s">
        <v>11</v>
      </c>
      <c r="G334" t="s">
        <v>983</v>
      </c>
      <c r="H334" t="s">
        <v>107</v>
      </c>
      <c r="I334" s="116">
        <f>INT(tblTransactions[[#This Row],[TransactionDate]])</f>
        <v>46292</v>
      </c>
      <c r="J334" t="str">
        <f>IF(tblTransactions[[#This Row],[ApprovalID]]="", "R2 - Missing Approval Reference", "")</f>
        <v/>
      </c>
      <c r="K334" t="str">
        <f>IF(AND(tblTransactions[[#This Row],[ApprovalID]]&lt;&gt;"",COUNTIFS(tblApprovals[TransactionID],tblTransactions[[#This Row],[TransactionID]],tblApprovals[ApprovalID],tblTransactions[[#This Row],[ApprovalID]])=0),"R3 - Missing or Mismatched Approval Record", "")</f>
        <v/>
      </c>
      <c r="L33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4" t="str">
        <f>IF(AND(tblTransactions[[#This Row],[TransactionStatus]]="Success",COUNTIF(tblSettlement[TransactionID],tblTransactions[[#This Row],[TransactionID]])=0)," R5 - Successful Transaction Not Settled", "")</f>
        <v/>
      </c>
      <c r="N334" t="str">
        <f>IF(AND(COUNTIF(tblSettlement[TransactionID],tblTransactions[[#This Row],[TransactionID]])&gt;0,tblTransactions[[#This Row],[Amount]]&lt;&gt;SUMIF(tblSettlement[TransactionID],tblTransactions[[#This Row],[TransactionID]],tblSettlement[SettledAmount]))," R6 - Settlement Amount Mismatch", "")</f>
        <v/>
      </c>
      <c r="O334" t="str">
        <f>IF(AND(tblTransactions[[#This Row],[CustomerRef]] &lt;&gt;"",COUNTIFS(tblTransactions[CustomerRef],tblTransactions[[#This Row],[CustomerRef]],tblTransactions[Amount],tblTransactions[[#This Row],[Amount]],tblTransactions[Date],tblTransactions[[#This Row],[Date]])&gt;1),"Yes","No")</f>
        <v>No</v>
      </c>
    </row>
    <row r="335" spans="1:15" x14ac:dyDescent="0.3">
      <c r="A335" t="s">
        <v>984</v>
      </c>
      <c r="B335" s="2">
        <v>46285.697222222225</v>
      </c>
      <c r="C335" t="s">
        <v>9</v>
      </c>
      <c r="D335" t="s">
        <v>15</v>
      </c>
      <c r="E335" s="6">
        <v>68957.279999999999</v>
      </c>
      <c r="F335" t="s">
        <v>111</v>
      </c>
      <c r="G335" t="s">
        <v>985</v>
      </c>
      <c r="H335" t="s">
        <v>986</v>
      </c>
      <c r="I335" s="116">
        <f>INT(tblTransactions[[#This Row],[TransactionDate]])</f>
        <v>46285</v>
      </c>
      <c r="J335" t="str">
        <f>IF(tblTransactions[[#This Row],[ApprovalID]]="", "R2 - Missing Approval Reference", "")</f>
        <v/>
      </c>
      <c r="K335" t="str">
        <f>IF(AND(tblTransactions[[#This Row],[ApprovalID]]&lt;&gt;"",COUNTIFS(tblApprovals[TransactionID],tblTransactions[[#This Row],[TransactionID]],tblApprovals[ApprovalID],tblTransactions[[#This Row],[ApprovalID]])=0),"R3 - Missing or Mismatched Approval Record", "")</f>
        <v/>
      </c>
      <c r="L33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5" t="str">
        <f>IF(AND(tblTransactions[[#This Row],[TransactionStatus]]="Success",COUNTIF(tblSettlement[TransactionID],tblTransactions[[#This Row],[TransactionID]])=0)," R5 - Successful Transaction Not Settled", "")</f>
        <v/>
      </c>
      <c r="N335" t="str">
        <f>IF(AND(COUNTIF(tblSettlement[TransactionID],tblTransactions[[#This Row],[TransactionID]])&gt;0,tblTransactions[[#This Row],[Amount]]&lt;&gt;SUMIF(tblSettlement[TransactionID],tblTransactions[[#This Row],[TransactionID]],tblSettlement[SettledAmount]))," R6 - Settlement Amount Mismatch", "")</f>
        <v/>
      </c>
      <c r="O335" t="str">
        <f>IF(AND(tblTransactions[[#This Row],[CustomerRef]] &lt;&gt;"",COUNTIFS(tblTransactions[CustomerRef],tblTransactions[[#This Row],[CustomerRef]],tblTransactions[Amount],tblTransactions[[#This Row],[Amount]],tblTransactions[Date],tblTransactions[[#This Row],[Date]])&gt;1),"Yes","No")</f>
        <v>No</v>
      </c>
    </row>
    <row r="336" spans="1:15" x14ac:dyDescent="0.3">
      <c r="A336" t="s">
        <v>987</v>
      </c>
      <c r="B336" s="2">
        <v>46221.430555555555</v>
      </c>
      <c r="C336" t="s">
        <v>24</v>
      </c>
      <c r="D336" t="s">
        <v>10</v>
      </c>
      <c r="E336" s="6">
        <v>63188.39</v>
      </c>
      <c r="F336" t="s">
        <v>11</v>
      </c>
      <c r="G336" t="s">
        <v>988</v>
      </c>
      <c r="H336" t="s">
        <v>989</v>
      </c>
      <c r="I336" s="116">
        <f>INT(tblTransactions[[#This Row],[TransactionDate]])</f>
        <v>46221</v>
      </c>
      <c r="J336" t="str">
        <f>IF(tblTransactions[[#This Row],[ApprovalID]]="", "R2 - Missing Approval Reference", "")</f>
        <v/>
      </c>
      <c r="K336" t="str">
        <f>IF(AND(tblTransactions[[#This Row],[ApprovalID]]&lt;&gt;"",COUNTIFS(tblApprovals[TransactionID],tblTransactions[[#This Row],[TransactionID]],tblApprovals[ApprovalID],tblTransactions[[#This Row],[ApprovalID]])=0),"R3 - Missing or Mismatched Approval Record", "")</f>
        <v/>
      </c>
      <c r="L33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6" t="str">
        <f>IF(AND(tblTransactions[[#This Row],[TransactionStatus]]="Success",COUNTIF(tblSettlement[TransactionID],tblTransactions[[#This Row],[TransactionID]])=0)," R5 - Successful Transaction Not Settled", "")</f>
        <v/>
      </c>
      <c r="N336" t="str">
        <f>IF(AND(COUNTIF(tblSettlement[TransactionID],tblTransactions[[#This Row],[TransactionID]])&gt;0,tblTransactions[[#This Row],[Amount]]&lt;&gt;SUMIF(tblSettlement[TransactionID],tblTransactions[[#This Row],[TransactionID]],tblSettlement[SettledAmount]))," R6 - Settlement Amount Mismatch", "")</f>
        <v/>
      </c>
      <c r="O336" t="str">
        <f>IF(AND(tblTransactions[[#This Row],[CustomerRef]] &lt;&gt;"",COUNTIFS(tblTransactions[CustomerRef],tblTransactions[[#This Row],[CustomerRef]],tblTransactions[Amount],tblTransactions[[#This Row],[Amount]],tblTransactions[Date],tblTransactions[[#This Row],[Date]])&gt;1),"Yes","No")</f>
        <v>No</v>
      </c>
    </row>
    <row r="337" spans="1:15" x14ac:dyDescent="0.3">
      <c r="A337" t="s">
        <v>990</v>
      </c>
      <c r="B337" s="2">
        <v>46253.688888888886</v>
      </c>
      <c r="C337" t="s">
        <v>43</v>
      </c>
      <c r="D337" t="s">
        <v>29</v>
      </c>
      <c r="E337" s="6">
        <v>49066.96</v>
      </c>
      <c r="F337" t="s">
        <v>11</v>
      </c>
      <c r="G337" t="s">
        <v>991</v>
      </c>
      <c r="H337" t="s">
        <v>992</v>
      </c>
      <c r="I337" s="116">
        <f>INT(tblTransactions[[#This Row],[TransactionDate]])</f>
        <v>46253</v>
      </c>
      <c r="J337" t="str">
        <f>IF(tblTransactions[[#This Row],[ApprovalID]]="", "R2 - Missing Approval Reference", "")</f>
        <v/>
      </c>
      <c r="K337" t="str">
        <f>IF(AND(tblTransactions[[#This Row],[ApprovalID]]&lt;&gt;"",COUNTIFS(tblApprovals[TransactionID],tblTransactions[[#This Row],[TransactionID]],tblApprovals[ApprovalID],tblTransactions[[#This Row],[ApprovalID]])=0),"R3 - Missing or Mismatched Approval Record", "")</f>
        <v/>
      </c>
      <c r="L33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7" t="str">
        <f>IF(AND(tblTransactions[[#This Row],[TransactionStatus]]="Success",COUNTIF(tblSettlement[TransactionID],tblTransactions[[#This Row],[TransactionID]])=0)," R5 - Successful Transaction Not Settled", "")</f>
        <v/>
      </c>
      <c r="N337" t="str">
        <f>IF(AND(COUNTIF(tblSettlement[TransactionID],tblTransactions[[#This Row],[TransactionID]])&gt;0,tblTransactions[[#This Row],[Amount]]&lt;&gt;SUMIF(tblSettlement[TransactionID],tblTransactions[[#This Row],[TransactionID]],tblSettlement[SettledAmount]))," R6 - Settlement Amount Mismatch", "")</f>
        <v/>
      </c>
      <c r="O337" t="str">
        <f>IF(AND(tblTransactions[[#This Row],[CustomerRef]] &lt;&gt;"",COUNTIFS(tblTransactions[CustomerRef],tblTransactions[[#This Row],[CustomerRef]],tblTransactions[Amount],tblTransactions[[#This Row],[Amount]],tblTransactions[Date],tblTransactions[[#This Row],[Date]])&gt;1),"Yes","No")</f>
        <v>No</v>
      </c>
    </row>
    <row r="338" spans="1:15" x14ac:dyDescent="0.3">
      <c r="A338" t="s">
        <v>993</v>
      </c>
      <c r="B338" s="2">
        <v>46266.420138888891</v>
      </c>
      <c r="C338" t="s">
        <v>9</v>
      </c>
      <c r="D338" t="s">
        <v>20</v>
      </c>
      <c r="E338" s="6">
        <v>42513.49</v>
      </c>
      <c r="F338" t="s">
        <v>11</v>
      </c>
      <c r="H338" t="s">
        <v>994</v>
      </c>
      <c r="I338" s="116">
        <f>INT(tblTransactions[[#This Row],[TransactionDate]])</f>
        <v>46266</v>
      </c>
      <c r="J338" t="str">
        <f>IF(tblTransactions[[#This Row],[ApprovalID]]="", "R2 - Missing Approval Reference", "")</f>
        <v>R2 - Missing Approval Reference</v>
      </c>
      <c r="K338" t="str">
        <f>IF(AND(tblTransactions[[#This Row],[ApprovalID]]&lt;&gt;"",COUNTIFS(tblApprovals[TransactionID],tblTransactions[[#This Row],[TransactionID]],tblApprovals[ApprovalID],tblTransactions[[#This Row],[ApprovalID]])=0),"R3 - Missing or Mismatched Approval Record", "")</f>
        <v/>
      </c>
      <c r="L33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8" t="str">
        <f>IF(AND(tblTransactions[[#This Row],[TransactionStatus]]="Success",COUNTIF(tblSettlement[TransactionID],tblTransactions[[#This Row],[TransactionID]])=0)," R5 - Successful Transaction Not Settled", "")</f>
        <v/>
      </c>
      <c r="N338" t="str">
        <f>IF(AND(COUNTIF(tblSettlement[TransactionID],tblTransactions[[#This Row],[TransactionID]])&gt;0,tblTransactions[[#This Row],[Amount]]&lt;&gt;SUMIF(tblSettlement[TransactionID],tblTransactions[[#This Row],[TransactionID]],tblSettlement[SettledAmount]))," R6 - Settlement Amount Mismatch", "")</f>
        <v/>
      </c>
      <c r="O338" t="str">
        <f>IF(AND(tblTransactions[[#This Row],[CustomerRef]] &lt;&gt;"",COUNTIFS(tblTransactions[CustomerRef],tblTransactions[[#This Row],[CustomerRef]],tblTransactions[Amount],tblTransactions[[#This Row],[Amount]],tblTransactions[Date],tblTransactions[[#This Row],[Date]])&gt;1),"Yes","No")</f>
        <v>No</v>
      </c>
    </row>
    <row r="339" spans="1:15" x14ac:dyDescent="0.3">
      <c r="A339" t="s">
        <v>995</v>
      </c>
      <c r="B339" s="2">
        <v>46272.506944444445</v>
      </c>
      <c r="C339" t="s">
        <v>43</v>
      </c>
      <c r="D339" t="s">
        <v>15</v>
      </c>
      <c r="E339" s="6">
        <v>58610.33</v>
      </c>
      <c r="F339" t="s">
        <v>11</v>
      </c>
      <c r="G339" t="s">
        <v>996</v>
      </c>
      <c r="H339" t="s">
        <v>997</v>
      </c>
      <c r="I339" s="116">
        <f>INT(tblTransactions[[#This Row],[TransactionDate]])</f>
        <v>46272</v>
      </c>
      <c r="J339" t="str">
        <f>IF(tblTransactions[[#This Row],[ApprovalID]]="", "R2 - Missing Approval Reference", "")</f>
        <v/>
      </c>
      <c r="K339" t="str">
        <f>IF(AND(tblTransactions[[#This Row],[ApprovalID]]&lt;&gt;"",COUNTIFS(tblApprovals[TransactionID],tblTransactions[[#This Row],[TransactionID]],tblApprovals[ApprovalID],tblTransactions[[#This Row],[ApprovalID]])=0),"R3 - Missing or Mismatched Approval Record", "")</f>
        <v>R3 - Missing or Mismatched Approval Record</v>
      </c>
      <c r="L33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39" t="str">
        <f>IF(AND(tblTransactions[[#This Row],[TransactionStatus]]="Success",COUNTIF(tblSettlement[TransactionID],tblTransactions[[#This Row],[TransactionID]])=0)," R5 - Successful Transaction Not Settled", "")</f>
        <v/>
      </c>
      <c r="N339" t="str">
        <f>IF(AND(COUNTIF(tblSettlement[TransactionID],tblTransactions[[#This Row],[TransactionID]])&gt;0,tblTransactions[[#This Row],[Amount]]&lt;&gt;SUMIF(tblSettlement[TransactionID],tblTransactions[[#This Row],[TransactionID]],tblSettlement[SettledAmount]))," R6 - Settlement Amount Mismatch", "")</f>
        <v/>
      </c>
      <c r="O339" t="str">
        <f>IF(AND(tblTransactions[[#This Row],[CustomerRef]] &lt;&gt;"",COUNTIFS(tblTransactions[CustomerRef],tblTransactions[[#This Row],[CustomerRef]],tblTransactions[Amount],tblTransactions[[#This Row],[Amount]],tblTransactions[Date],tblTransactions[[#This Row],[Date]])&gt;1),"Yes","No")</f>
        <v>No</v>
      </c>
    </row>
    <row r="340" spans="1:15" x14ac:dyDescent="0.3">
      <c r="A340" t="s">
        <v>998</v>
      </c>
      <c r="B340" s="2">
        <v>46238.856944444444</v>
      </c>
      <c r="C340" t="s">
        <v>47</v>
      </c>
      <c r="D340" t="s">
        <v>29</v>
      </c>
      <c r="E340" s="6">
        <v>61790.39</v>
      </c>
      <c r="F340" t="s">
        <v>11</v>
      </c>
      <c r="G340" t="s">
        <v>999</v>
      </c>
      <c r="H340" t="s">
        <v>1000</v>
      </c>
      <c r="I340" s="116">
        <f>INT(tblTransactions[[#This Row],[TransactionDate]])</f>
        <v>46238</v>
      </c>
      <c r="J340" t="str">
        <f>IF(tblTransactions[[#This Row],[ApprovalID]]="", "R2 - Missing Approval Reference", "")</f>
        <v/>
      </c>
      <c r="K340" t="str">
        <f>IF(AND(tblTransactions[[#This Row],[ApprovalID]]&lt;&gt;"",COUNTIFS(tblApprovals[TransactionID],tblTransactions[[#This Row],[TransactionID]],tblApprovals[ApprovalID],tblTransactions[[#This Row],[ApprovalID]])=0),"R3 - Missing or Mismatched Approval Record", "")</f>
        <v/>
      </c>
      <c r="L34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0" t="str">
        <f>IF(AND(tblTransactions[[#This Row],[TransactionStatus]]="Success",COUNTIF(tblSettlement[TransactionID],tblTransactions[[#This Row],[TransactionID]])=0)," R5 - Successful Transaction Not Settled", "")</f>
        <v/>
      </c>
      <c r="N340" t="str">
        <f>IF(AND(COUNTIF(tblSettlement[TransactionID],tblTransactions[[#This Row],[TransactionID]])&gt;0,tblTransactions[[#This Row],[Amount]]&lt;&gt;SUMIF(tblSettlement[TransactionID],tblTransactions[[#This Row],[TransactionID]],tblSettlement[SettledAmount]))," R6 - Settlement Amount Mismatch", "")</f>
        <v/>
      </c>
      <c r="O340" t="str">
        <f>IF(AND(tblTransactions[[#This Row],[CustomerRef]] &lt;&gt;"",COUNTIFS(tblTransactions[CustomerRef],tblTransactions[[#This Row],[CustomerRef]],tblTransactions[Amount],tblTransactions[[#This Row],[Amount]],tblTransactions[Date],tblTransactions[[#This Row],[Date]])&gt;1),"Yes","No")</f>
        <v>No</v>
      </c>
    </row>
    <row r="341" spans="1:15" x14ac:dyDescent="0.3">
      <c r="A341" t="s">
        <v>1001</v>
      </c>
      <c r="B341" s="2">
        <v>46217.828472222223</v>
      </c>
      <c r="C341" t="s">
        <v>47</v>
      </c>
      <c r="D341" t="s">
        <v>29</v>
      </c>
      <c r="E341" s="6">
        <v>49111.96</v>
      </c>
      <c r="F341" t="s">
        <v>11</v>
      </c>
      <c r="G341" t="s">
        <v>1002</v>
      </c>
      <c r="H341" t="s">
        <v>1003</v>
      </c>
      <c r="I341" s="116">
        <f>INT(tblTransactions[[#This Row],[TransactionDate]])</f>
        <v>46217</v>
      </c>
      <c r="J341" t="str">
        <f>IF(tblTransactions[[#This Row],[ApprovalID]]="", "R2 - Missing Approval Reference", "")</f>
        <v/>
      </c>
      <c r="K341" t="str">
        <f>IF(AND(tblTransactions[[#This Row],[ApprovalID]]&lt;&gt;"",COUNTIFS(tblApprovals[TransactionID],tblTransactions[[#This Row],[TransactionID]],tblApprovals[ApprovalID],tblTransactions[[#This Row],[ApprovalID]])=0),"R3 - Missing or Mismatched Approval Record", "")</f>
        <v/>
      </c>
      <c r="L34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1" t="str">
        <f>IF(AND(tblTransactions[[#This Row],[TransactionStatus]]="Success",COUNTIF(tblSettlement[TransactionID],tblTransactions[[#This Row],[TransactionID]])=0)," R5 - Successful Transaction Not Settled", "")</f>
        <v xml:space="preserve"> R5 - Successful Transaction Not Settled</v>
      </c>
      <c r="N341" t="str">
        <f>IF(AND(COUNTIF(tblSettlement[TransactionID],tblTransactions[[#This Row],[TransactionID]])&gt;0,tblTransactions[[#This Row],[Amount]]&lt;&gt;SUMIF(tblSettlement[TransactionID],tblTransactions[[#This Row],[TransactionID]],tblSettlement[SettledAmount]))," R6 - Settlement Amount Mismatch", "")</f>
        <v/>
      </c>
      <c r="O341" t="str">
        <f>IF(AND(tblTransactions[[#This Row],[CustomerRef]] &lt;&gt;"",COUNTIFS(tblTransactions[CustomerRef],tblTransactions[[#This Row],[CustomerRef]],tblTransactions[Amount],tblTransactions[[#This Row],[Amount]],tblTransactions[Date],tblTransactions[[#This Row],[Date]])&gt;1),"Yes","No")</f>
        <v>No</v>
      </c>
    </row>
    <row r="342" spans="1:15" x14ac:dyDescent="0.3">
      <c r="A342" t="s">
        <v>1004</v>
      </c>
      <c r="B342" s="2">
        <v>46260.879861111112</v>
      </c>
      <c r="C342" t="s">
        <v>28</v>
      </c>
      <c r="D342" t="s">
        <v>15</v>
      </c>
      <c r="E342" s="6">
        <v>58228.47</v>
      </c>
      <c r="F342" t="s">
        <v>11</v>
      </c>
      <c r="G342" t="s">
        <v>1005</v>
      </c>
      <c r="H342" t="s">
        <v>1006</v>
      </c>
      <c r="I342" s="116">
        <f>INT(tblTransactions[[#This Row],[TransactionDate]])</f>
        <v>46260</v>
      </c>
      <c r="J342" t="str">
        <f>IF(tblTransactions[[#This Row],[ApprovalID]]="", "R2 - Missing Approval Reference", "")</f>
        <v/>
      </c>
      <c r="K342" t="str">
        <f>IF(AND(tblTransactions[[#This Row],[ApprovalID]]&lt;&gt;"",COUNTIFS(tblApprovals[TransactionID],tblTransactions[[#This Row],[TransactionID]],tblApprovals[ApprovalID],tblTransactions[[#This Row],[ApprovalID]])=0),"R3 - Missing or Mismatched Approval Record", "")</f>
        <v/>
      </c>
      <c r="L34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2" t="str">
        <f>IF(AND(tblTransactions[[#This Row],[TransactionStatus]]="Success",COUNTIF(tblSettlement[TransactionID],tblTransactions[[#This Row],[TransactionID]])=0)," R5 - Successful Transaction Not Settled", "")</f>
        <v/>
      </c>
      <c r="N342" t="str">
        <f>IF(AND(COUNTIF(tblSettlement[TransactionID],tblTransactions[[#This Row],[TransactionID]])&gt;0,tblTransactions[[#This Row],[Amount]]&lt;&gt;SUMIF(tblSettlement[TransactionID],tblTransactions[[#This Row],[TransactionID]],tblSettlement[SettledAmount]))," R6 - Settlement Amount Mismatch", "")</f>
        <v/>
      </c>
      <c r="O342" t="str">
        <f>IF(AND(tblTransactions[[#This Row],[CustomerRef]] &lt;&gt;"",COUNTIFS(tblTransactions[CustomerRef],tblTransactions[[#This Row],[CustomerRef]],tblTransactions[Amount],tblTransactions[[#This Row],[Amount]],tblTransactions[Date],tblTransactions[[#This Row],[Date]])&gt;1),"Yes","No")</f>
        <v>No</v>
      </c>
    </row>
    <row r="343" spans="1:15" x14ac:dyDescent="0.3">
      <c r="A343" t="s">
        <v>1007</v>
      </c>
      <c r="B343" s="2">
        <v>46225.713888888888</v>
      </c>
      <c r="C343" t="s">
        <v>47</v>
      </c>
      <c r="D343" t="s">
        <v>15</v>
      </c>
      <c r="E343" s="6">
        <v>58917.49</v>
      </c>
      <c r="F343" t="s">
        <v>11</v>
      </c>
      <c r="G343" t="s">
        <v>1008</v>
      </c>
      <c r="H343" t="s">
        <v>1009</v>
      </c>
      <c r="I343" s="116">
        <f>INT(tblTransactions[[#This Row],[TransactionDate]])</f>
        <v>46225</v>
      </c>
      <c r="J343" t="str">
        <f>IF(tblTransactions[[#This Row],[ApprovalID]]="", "R2 - Missing Approval Reference", "")</f>
        <v/>
      </c>
      <c r="K343" t="str">
        <f>IF(AND(tblTransactions[[#This Row],[ApprovalID]]&lt;&gt;"",COUNTIFS(tblApprovals[TransactionID],tblTransactions[[#This Row],[TransactionID]],tblApprovals[ApprovalID],tblTransactions[[#This Row],[ApprovalID]])=0),"R3 - Missing or Mismatched Approval Record", "")</f>
        <v/>
      </c>
      <c r="L34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3" t="str">
        <f>IF(AND(tblTransactions[[#This Row],[TransactionStatus]]="Success",COUNTIF(tblSettlement[TransactionID],tblTransactions[[#This Row],[TransactionID]])=0)," R5 - Successful Transaction Not Settled", "")</f>
        <v/>
      </c>
      <c r="N343" t="str">
        <f>IF(AND(COUNTIF(tblSettlement[TransactionID],tblTransactions[[#This Row],[TransactionID]])&gt;0,tblTransactions[[#This Row],[Amount]]&lt;&gt;SUMIF(tblSettlement[TransactionID],tblTransactions[[#This Row],[TransactionID]],tblSettlement[SettledAmount]))," R6 - Settlement Amount Mismatch", "")</f>
        <v/>
      </c>
      <c r="O343" t="str">
        <f>IF(AND(tblTransactions[[#This Row],[CustomerRef]] &lt;&gt;"",COUNTIFS(tblTransactions[CustomerRef],tblTransactions[[#This Row],[CustomerRef]],tblTransactions[Amount],tblTransactions[[#This Row],[Amount]],tblTransactions[Date],tblTransactions[[#This Row],[Date]])&gt;1),"Yes","No")</f>
        <v>No</v>
      </c>
    </row>
    <row r="344" spans="1:15" x14ac:dyDescent="0.3">
      <c r="A344" t="s">
        <v>1010</v>
      </c>
      <c r="B344" s="2">
        <v>46280.673611111109</v>
      </c>
      <c r="C344" t="s">
        <v>24</v>
      </c>
      <c r="D344" t="s">
        <v>15</v>
      </c>
      <c r="E344" s="6">
        <v>24443.11</v>
      </c>
      <c r="F344" t="s">
        <v>11</v>
      </c>
      <c r="G344" t="s">
        <v>1011</v>
      </c>
      <c r="H344" t="s">
        <v>1012</v>
      </c>
      <c r="I344" s="116">
        <f>INT(tblTransactions[[#This Row],[TransactionDate]])</f>
        <v>46280</v>
      </c>
      <c r="J344" t="str">
        <f>IF(tblTransactions[[#This Row],[ApprovalID]]="", "R2 - Missing Approval Reference", "")</f>
        <v/>
      </c>
      <c r="K344" t="str">
        <f>IF(AND(tblTransactions[[#This Row],[ApprovalID]]&lt;&gt;"",COUNTIFS(tblApprovals[TransactionID],tblTransactions[[#This Row],[TransactionID]],tblApprovals[ApprovalID],tblTransactions[[#This Row],[ApprovalID]])=0),"R3 - Missing or Mismatched Approval Record", "")</f>
        <v/>
      </c>
      <c r="L34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4" t="str">
        <f>IF(AND(tblTransactions[[#This Row],[TransactionStatus]]="Success",COUNTIF(tblSettlement[TransactionID],tblTransactions[[#This Row],[TransactionID]])=0)," R5 - Successful Transaction Not Settled", "")</f>
        <v/>
      </c>
      <c r="N344" t="str">
        <f>IF(AND(COUNTIF(tblSettlement[TransactionID],tblTransactions[[#This Row],[TransactionID]])&gt;0,tblTransactions[[#This Row],[Amount]]&lt;&gt;SUMIF(tblSettlement[TransactionID],tblTransactions[[#This Row],[TransactionID]],tblSettlement[SettledAmount]))," R6 - Settlement Amount Mismatch", "")</f>
        <v/>
      </c>
      <c r="O344" t="str">
        <f>IF(AND(tblTransactions[[#This Row],[CustomerRef]] &lt;&gt;"",COUNTIFS(tblTransactions[CustomerRef],tblTransactions[[#This Row],[CustomerRef]],tblTransactions[Amount],tblTransactions[[#This Row],[Amount]],tblTransactions[Date],tblTransactions[[#This Row],[Date]])&gt;1),"Yes","No")</f>
        <v>No</v>
      </c>
    </row>
    <row r="345" spans="1:15" x14ac:dyDescent="0.3">
      <c r="A345" t="s">
        <v>1013</v>
      </c>
      <c r="B345" s="2">
        <v>46290.879166666666</v>
      </c>
      <c r="C345" t="s">
        <v>43</v>
      </c>
      <c r="D345" t="s">
        <v>10</v>
      </c>
      <c r="E345" s="6">
        <v>10385.27</v>
      </c>
      <c r="F345" t="s">
        <v>11</v>
      </c>
      <c r="G345" t="s">
        <v>1014</v>
      </c>
      <c r="H345" t="s">
        <v>1015</v>
      </c>
      <c r="I345" s="116">
        <f>INT(tblTransactions[[#This Row],[TransactionDate]])</f>
        <v>46290</v>
      </c>
      <c r="J345" t="str">
        <f>IF(tblTransactions[[#This Row],[ApprovalID]]="", "R2 - Missing Approval Reference", "")</f>
        <v/>
      </c>
      <c r="K345" t="str">
        <f>IF(AND(tblTransactions[[#This Row],[ApprovalID]]&lt;&gt;"",COUNTIFS(tblApprovals[TransactionID],tblTransactions[[#This Row],[TransactionID]],tblApprovals[ApprovalID],tblTransactions[[#This Row],[ApprovalID]])=0),"R3 - Missing or Mismatched Approval Record", "")</f>
        <v/>
      </c>
      <c r="L34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5" t="str">
        <f>IF(AND(tblTransactions[[#This Row],[TransactionStatus]]="Success",COUNTIF(tblSettlement[TransactionID],tblTransactions[[#This Row],[TransactionID]])=0)," R5 - Successful Transaction Not Settled", "")</f>
        <v/>
      </c>
      <c r="N345" t="str">
        <f>IF(AND(COUNTIF(tblSettlement[TransactionID],tblTransactions[[#This Row],[TransactionID]])&gt;0,tblTransactions[[#This Row],[Amount]]&lt;&gt;SUMIF(tblSettlement[TransactionID],tblTransactions[[#This Row],[TransactionID]],tblSettlement[SettledAmount]))," R6 - Settlement Amount Mismatch", "")</f>
        <v/>
      </c>
      <c r="O345" t="str">
        <f>IF(AND(tblTransactions[[#This Row],[CustomerRef]] &lt;&gt;"",COUNTIFS(tblTransactions[CustomerRef],tblTransactions[[#This Row],[CustomerRef]],tblTransactions[Amount],tblTransactions[[#This Row],[Amount]],tblTransactions[Date],tblTransactions[[#This Row],[Date]])&gt;1),"Yes","No")</f>
        <v>No</v>
      </c>
    </row>
    <row r="346" spans="1:15" x14ac:dyDescent="0.3">
      <c r="A346" t="s">
        <v>1016</v>
      </c>
      <c r="B346" s="2">
        <v>46293.880555555559</v>
      </c>
      <c r="C346" t="s">
        <v>9</v>
      </c>
      <c r="D346" t="s">
        <v>29</v>
      </c>
      <c r="E346" s="6">
        <v>18913.37</v>
      </c>
      <c r="F346" t="s">
        <v>11</v>
      </c>
      <c r="G346" t="s">
        <v>1017</v>
      </c>
      <c r="H346" t="s">
        <v>1018</v>
      </c>
      <c r="I346" s="116">
        <f>INT(tblTransactions[[#This Row],[TransactionDate]])</f>
        <v>46293</v>
      </c>
      <c r="J346" t="str">
        <f>IF(tblTransactions[[#This Row],[ApprovalID]]="", "R2 - Missing Approval Reference", "")</f>
        <v/>
      </c>
      <c r="K346" t="str">
        <f>IF(AND(tblTransactions[[#This Row],[ApprovalID]]&lt;&gt;"",COUNTIFS(tblApprovals[TransactionID],tblTransactions[[#This Row],[TransactionID]],tblApprovals[ApprovalID],tblTransactions[[#This Row],[ApprovalID]])=0),"R3 - Missing or Mismatched Approval Record", "")</f>
        <v/>
      </c>
      <c r="L34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6" t="str">
        <f>IF(AND(tblTransactions[[#This Row],[TransactionStatus]]="Success",COUNTIF(tblSettlement[TransactionID],tblTransactions[[#This Row],[TransactionID]])=0)," R5 - Successful Transaction Not Settled", "")</f>
        <v/>
      </c>
      <c r="N346" t="str">
        <f>IF(AND(COUNTIF(tblSettlement[TransactionID],tblTransactions[[#This Row],[TransactionID]])&gt;0,tblTransactions[[#This Row],[Amount]]&lt;&gt;SUMIF(tblSettlement[TransactionID],tblTransactions[[#This Row],[TransactionID]],tblSettlement[SettledAmount]))," R6 - Settlement Amount Mismatch", "")</f>
        <v/>
      </c>
      <c r="O346" t="str">
        <f>IF(AND(tblTransactions[[#This Row],[CustomerRef]] &lt;&gt;"",COUNTIFS(tblTransactions[CustomerRef],tblTransactions[[#This Row],[CustomerRef]],tblTransactions[Amount],tblTransactions[[#This Row],[Amount]],tblTransactions[Date],tblTransactions[[#This Row],[Date]])&gt;1),"Yes","No")</f>
        <v>No</v>
      </c>
    </row>
    <row r="347" spans="1:15" x14ac:dyDescent="0.3">
      <c r="A347" t="s">
        <v>1019</v>
      </c>
      <c r="B347" s="2">
        <v>46284.6</v>
      </c>
      <c r="C347" t="s">
        <v>47</v>
      </c>
      <c r="D347" t="s">
        <v>29</v>
      </c>
      <c r="E347" s="6">
        <v>34036.379999999997</v>
      </c>
      <c r="F347" t="s">
        <v>11</v>
      </c>
      <c r="G347" t="s">
        <v>1020</v>
      </c>
      <c r="H347" t="s">
        <v>1021</v>
      </c>
      <c r="I347" s="116">
        <f>INT(tblTransactions[[#This Row],[TransactionDate]])</f>
        <v>46284</v>
      </c>
      <c r="J347" t="str">
        <f>IF(tblTransactions[[#This Row],[ApprovalID]]="", "R2 - Missing Approval Reference", "")</f>
        <v/>
      </c>
      <c r="K347" t="str">
        <f>IF(AND(tblTransactions[[#This Row],[ApprovalID]]&lt;&gt;"",COUNTIFS(tblApprovals[TransactionID],tblTransactions[[#This Row],[TransactionID]],tblApprovals[ApprovalID],tblTransactions[[#This Row],[ApprovalID]])=0),"R3 - Missing or Mismatched Approval Record", "")</f>
        <v/>
      </c>
      <c r="L34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7" t="str">
        <f>IF(AND(tblTransactions[[#This Row],[TransactionStatus]]="Success",COUNTIF(tblSettlement[TransactionID],tblTransactions[[#This Row],[TransactionID]])=0)," R5 - Successful Transaction Not Settled", "")</f>
        <v/>
      </c>
      <c r="N347" t="str">
        <f>IF(AND(COUNTIF(tblSettlement[TransactionID],tblTransactions[[#This Row],[TransactionID]])&gt;0,tblTransactions[[#This Row],[Amount]]&lt;&gt;SUMIF(tblSettlement[TransactionID],tblTransactions[[#This Row],[TransactionID]],tblSettlement[SettledAmount]))," R6 - Settlement Amount Mismatch", "")</f>
        <v/>
      </c>
      <c r="O347" t="str">
        <f>IF(AND(tblTransactions[[#This Row],[CustomerRef]] &lt;&gt;"",COUNTIFS(tblTransactions[CustomerRef],tblTransactions[[#This Row],[CustomerRef]],tblTransactions[Amount],tblTransactions[[#This Row],[Amount]],tblTransactions[Date],tblTransactions[[#This Row],[Date]])&gt;1),"Yes","No")</f>
        <v>No</v>
      </c>
    </row>
    <row r="348" spans="1:15" x14ac:dyDescent="0.3">
      <c r="A348" t="s">
        <v>1022</v>
      </c>
      <c r="B348" s="2">
        <v>46292.955555555556</v>
      </c>
      <c r="C348" t="s">
        <v>24</v>
      </c>
      <c r="D348" t="s">
        <v>15</v>
      </c>
      <c r="E348" s="6">
        <v>27838.07</v>
      </c>
      <c r="F348" t="s">
        <v>111</v>
      </c>
      <c r="H348" t="s">
        <v>1023</v>
      </c>
      <c r="I348" s="116">
        <f>INT(tblTransactions[[#This Row],[TransactionDate]])</f>
        <v>46292</v>
      </c>
      <c r="J348" t="str">
        <f>IF(tblTransactions[[#This Row],[ApprovalID]]="", "R2 - Missing Approval Reference", "")</f>
        <v>R2 - Missing Approval Reference</v>
      </c>
      <c r="K348" t="str">
        <f>IF(AND(tblTransactions[[#This Row],[ApprovalID]]&lt;&gt;"",COUNTIFS(tblApprovals[TransactionID],tblTransactions[[#This Row],[TransactionID]],tblApprovals[ApprovalID],tblTransactions[[#This Row],[ApprovalID]])=0),"R3 - Missing or Mismatched Approval Record", "")</f>
        <v/>
      </c>
      <c r="L34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48" t="str">
        <f>IF(AND(tblTransactions[[#This Row],[TransactionStatus]]="Success",COUNTIF(tblSettlement[TransactionID],tblTransactions[[#This Row],[TransactionID]])=0)," R5 - Successful Transaction Not Settled", "")</f>
        <v/>
      </c>
      <c r="N348" t="str">
        <f>IF(AND(COUNTIF(tblSettlement[TransactionID],tblTransactions[[#This Row],[TransactionID]])&gt;0,tblTransactions[[#This Row],[Amount]]&lt;&gt;SUMIF(tblSettlement[TransactionID],tblTransactions[[#This Row],[TransactionID]],tblSettlement[SettledAmount]))," R6 - Settlement Amount Mismatch", "")</f>
        <v/>
      </c>
      <c r="O348" t="str">
        <f>IF(AND(tblTransactions[[#This Row],[CustomerRef]] &lt;&gt;"",COUNTIFS(tblTransactions[CustomerRef],tblTransactions[[#This Row],[CustomerRef]],tblTransactions[Amount],tblTransactions[[#This Row],[Amount]],tblTransactions[Date],tblTransactions[[#This Row],[Date]])&gt;1),"Yes","No")</f>
        <v>No</v>
      </c>
    </row>
    <row r="349" spans="1:15" x14ac:dyDescent="0.3">
      <c r="A349" t="s">
        <v>1024</v>
      </c>
      <c r="B349" s="2">
        <v>46262.779166666667</v>
      </c>
      <c r="C349" t="s">
        <v>19</v>
      </c>
      <c r="D349" t="s">
        <v>29</v>
      </c>
      <c r="E349" s="6">
        <v>52372.35</v>
      </c>
      <c r="F349" t="s">
        <v>11</v>
      </c>
      <c r="G349" t="s">
        <v>1025</v>
      </c>
      <c r="H349" t="s">
        <v>1026</v>
      </c>
      <c r="I349" s="116">
        <f>INT(tblTransactions[[#This Row],[TransactionDate]])</f>
        <v>46262</v>
      </c>
      <c r="J349" t="str">
        <f>IF(tblTransactions[[#This Row],[ApprovalID]]="", "R2 - Missing Approval Reference", "")</f>
        <v/>
      </c>
      <c r="K349" t="str">
        <f>IF(AND(tblTransactions[[#This Row],[ApprovalID]]&lt;&gt;"",COUNTIFS(tblApprovals[TransactionID],tblTransactions[[#This Row],[TransactionID]],tblApprovals[ApprovalID],tblTransactions[[#This Row],[ApprovalID]])=0),"R3 - Missing or Mismatched Approval Record", "")</f>
        <v/>
      </c>
      <c r="L34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49" t="str">
        <f>IF(AND(tblTransactions[[#This Row],[TransactionStatus]]="Success",COUNTIF(tblSettlement[TransactionID],tblTransactions[[#This Row],[TransactionID]])=0)," R5 - Successful Transaction Not Settled", "")</f>
        <v/>
      </c>
      <c r="N349" t="str">
        <f>IF(AND(COUNTIF(tblSettlement[TransactionID],tblTransactions[[#This Row],[TransactionID]])&gt;0,tblTransactions[[#This Row],[Amount]]&lt;&gt;SUMIF(tblSettlement[TransactionID],tblTransactions[[#This Row],[TransactionID]],tblSettlement[SettledAmount]))," R6 - Settlement Amount Mismatch", "")</f>
        <v/>
      </c>
      <c r="O349" t="str">
        <f>IF(AND(tblTransactions[[#This Row],[CustomerRef]] &lt;&gt;"",COUNTIFS(tblTransactions[CustomerRef],tblTransactions[[#This Row],[CustomerRef]],tblTransactions[Amount],tblTransactions[[#This Row],[Amount]],tblTransactions[Date],tblTransactions[[#This Row],[Date]])&gt;1),"Yes","No")</f>
        <v>No</v>
      </c>
    </row>
    <row r="350" spans="1:15" x14ac:dyDescent="0.3">
      <c r="A350" t="s">
        <v>1027</v>
      </c>
      <c r="B350" s="2">
        <v>46231.636805555558</v>
      </c>
      <c r="C350" t="s">
        <v>19</v>
      </c>
      <c r="D350" t="s">
        <v>15</v>
      </c>
      <c r="E350" s="6">
        <v>24384.17</v>
      </c>
      <c r="F350" t="s">
        <v>11</v>
      </c>
      <c r="G350" t="s">
        <v>1028</v>
      </c>
      <c r="H350" t="s">
        <v>1029</v>
      </c>
      <c r="I350" s="116">
        <f>INT(tblTransactions[[#This Row],[TransactionDate]])</f>
        <v>46231</v>
      </c>
      <c r="J350" t="str">
        <f>IF(tblTransactions[[#This Row],[ApprovalID]]="", "R2 - Missing Approval Reference", "")</f>
        <v/>
      </c>
      <c r="K350" t="str">
        <f>IF(AND(tblTransactions[[#This Row],[ApprovalID]]&lt;&gt;"",COUNTIFS(tblApprovals[TransactionID],tblTransactions[[#This Row],[TransactionID]],tblApprovals[ApprovalID],tblTransactions[[#This Row],[ApprovalID]])=0),"R3 - Missing or Mismatched Approval Record", "")</f>
        <v/>
      </c>
      <c r="L35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0" t="str">
        <f>IF(AND(tblTransactions[[#This Row],[TransactionStatus]]="Success",COUNTIF(tblSettlement[TransactionID],tblTransactions[[#This Row],[TransactionID]])=0)," R5 - Successful Transaction Not Settled", "")</f>
        <v/>
      </c>
      <c r="N350" t="str">
        <f>IF(AND(COUNTIF(tblSettlement[TransactionID],tblTransactions[[#This Row],[TransactionID]])&gt;0,tblTransactions[[#This Row],[Amount]]&lt;&gt;SUMIF(tblSettlement[TransactionID],tblTransactions[[#This Row],[TransactionID]],tblSettlement[SettledAmount]))," R6 - Settlement Amount Mismatch", "")</f>
        <v/>
      </c>
      <c r="O350" t="str">
        <f>IF(AND(tblTransactions[[#This Row],[CustomerRef]] &lt;&gt;"",COUNTIFS(tblTransactions[CustomerRef],tblTransactions[[#This Row],[CustomerRef]],tblTransactions[Amount],tblTransactions[[#This Row],[Amount]],tblTransactions[Date],tblTransactions[[#This Row],[Date]])&gt;1),"Yes","No")</f>
        <v>No</v>
      </c>
    </row>
    <row r="351" spans="1:15" x14ac:dyDescent="0.3">
      <c r="A351" t="s">
        <v>1030</v>
      </c>
      <c r="B351" s="2">
        <v>46247.946527777778</v>
      </c>
      <c r="C351" t="s">
        <v>28</v>
      </c>
      <c r="D351" t="s">
        <v>29</v>
      </c>
      <c r="E351" s="6">
        <v>57228.49</v>
      </c>
      <c r="F351" t="s">
        <v>11</v>
      </c>
      <c r="H351" t="s">
        <v>1031</v>
      </c>
      <c r="I351" s="116">
        <f>INT(tblTransactions[[#This Row],[TransactionDate]])</f>
        <v>46247</v>
      </c>
      <c r="J351" t="str">
        <f>IF(tblTransactions[[#This Row],[ApprovalID]]="", "R2 - Missing Approval Reference", "")</f>
        <v>R2 - Missing Approval Reference</v>
      </c>
      <c r="K351" t="str">
        <f>IF(AND(tblTransactions[[#This Row],[ApprovalID]]&lt;&gt;"",COUNTIFS(tblApprovals[TransactionID],tblTransactions[[#This Row],[TransactionID]],tblApprovals[ApprovalID],tblTransactions[[#This Row],[ApprovalID]])=0),"R3 - Missing or Mismatched Approval Record", "")</f>
        <v/>
      </c>
      <c r="L35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1" t="str">
        <f>IF(AND(tblTransactions[[#This Row],[TransactionStatus]]="Success",COUNTIF(tblSettlement[TransactionID],tblTransactions[[#This Row],[TransactionID]])=0)," R5 - Successful Transaction Not Settled", "")</f>
        <v/>
      </c>
      <c r="N351" t="str">
        <f>IF(AND(COUNTIF(tblSettlement[TransactionID],tblTransactions[[#This Row],[TransactionID]])&gt;0,tblTransactions[[#This Row],[Amount]]&lt;&gt;SUMIF(tblSettlement[TransactionID],tblTransactions[[#This Row],[TransactionID]],tblSettlement[SettledAmount]))," R6 - Settlement Amount Mismatch", "")</f>
        <v/>
      </c>
      <c r="O351" t="str">
        <f>IF(AND(tblTransactions[[#This Row],[CustomerRef]] &lt;&gt;"",COUNTIFS(tblTransactions[CustomerRef],tblTransactions[[#This Row],[CustomerRef]],tblTransactions[Amount],tblTransactions[[#This Row],[Amount]],tblTransactions[Date],tblTransactions[[#This Row],[Date]])&gt;1),"Yes","No")</f>
        <v>No</v>
      </c>
    </row>
    <row r="352" spans="1:15" x14ac:dyDescent="0.3">
      <c r="A352" t="s">
        <v>1032</v>
      </c>
      <c r="B352" s="2">
        <v>46260.625</v>
      </c>
      <c r="C352" t="s">
        <v>28</v>
      </c>
      <c r="D352" t="s">
        <v>69</v>
      </c>
      <c r="E352" s="6">
        <v>74389.91</v>
      </c>
      <c r="F352" t="s">
        <v>11</v>
      </c>
      <c r="G352" t="s">
        <v>1033</v>
      </c>
      <c r="H352" t="s">
        <v>1034</v>
      </c>
      <c r="I352" s="116">
        <f>INT(tblTransactions[[#This Row],[TransactionDate]])</f>
        <v>46260</v>
      </c>
      <c r="J352" t="str">
        <f>IF(tblTransactions[[#This Row],[ApprovalID]]="", "R2 - Missing Approval Reference", "")</f>
        <v/>
      </c>
      <c r="K352" t="str">
        <f>IF(AND(tblTransactions[[#This Row],[ApprovalID]]&lt;&gt;"",COUNTIFS(tblApprovals[TransactionID],tblTransactions[[#This Row],[TransactionID]],tblApprovals[ApprovalID],tblTransactions[[#This Row],[ApprovalID]])=0),"R3 - Missing or Mismatched Approval Record", "")</f>
        <v/>
      </c>
      <c r="L35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2" t="str">
        <f>IF(AND(tblTransactions[[#This Row],[TransactionStatus]]="Success",COUNTIF(tblSettlement[TransactionID],tblTransactions[[#This Row],[TransactionID]])=0)," R5 - Successful Transaction Not Settled", "")</f>
        <v/>
      </c>
      <c r="N352" t="str">
        <f>IF(AND(COUNTIF(tblSettlement[TransactionID],tblTransactions[[#This Row],[TransactionID]])&gt;0,tblTransactions[[#This Row],[Amount]]&lt;&gt;SUMIF(tblSettlement[TransactionID],tblTransactions[[#This Row],[TransactionID]],tblSettlement[SettledAmount]))," R6 - Settlement Amount Mismatch", "")</f>
        <v/>
      </c>
      <c r="O352" t="str">
        <f>IF(AND(tblTransactions[[#This Row],[CustomerRef]] &lt;&gt;"",COUNTIFS(tblTransactions[CustomerRef],tblTransactions[[#This Row],[CustomerRef]],tblTransactions[Amount],tblTransactions[[#This Row],[Amount]],tblTransactions[Date],tblTransactions[[#This Row],[Date]])&gt;1),"Yes","No")</f>
        <v>No</v>
      </c>
    </row>
    <row r="353" spans="1:15" x14ac:dyDescent="0.3">
      <c r="A353" t="s">
        <v>1035</v>
      </c>
      <c r="B353" s="2">
        <v>46224.915972222225</v>
      </c>
      <c r="C353" t="s">
        <v>24</v>
      </c>
      <c r="D353" t="s">
        <v>20</v>
      </c>
      <c r="E353" s="6">
        <v>65775.48</v>
      </c>
      <c r="F353" t="s">
        <v>11</v>
      </c>
      <c r="G353" t="s">
        <v>1036</v>
      </c>
      <c r="H353" t="s">
        <v>1037</v>
      </c>
      <c r="I353" s="116">
        <f>INT(tblTransactions[[#This Row],[TransactionDate]])</f>
        <v>46224</v>
      </c>
      <c r="J353" t="str">
        <f>IF(tblTransactions[[#This Row],[ApprovalID]]="", "R2 - Missing Approval Reference", "")</f>
        <v/>
      </c>
      <c r="K353" t="str">
        <f>IF(AND(tblTransactions[[#This Row],[ApprovalID]]&lt;&gt;"",COUNTIFS(tblApprovals[TransactionID],tblTransactions[[#This Row],[TransactionID]],tblApprovals[ApprovalID],tblTransactions[[#This Row],[ApprovalID]])=0),"R3 - Missing or Mismatched Approval Record", "")</f>
        <v/>
      </c>
      <c r="L35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3" t="str">
        <f>IF(AND(tblTransactions[[#This Row],[TransactionStatus]]="Success",COUNTIF(tblSettlement[TransactionID],tblTransactions[[#This Row],[TransactionID]])=0)," R5 - Successful Transaction Not Settled", "")</f>
        <v/>
      </c>
      <c r="N353" t="str">
        <f>IF(AND(COUNTIF(tblSettlement[TransactionID],tblTransactions[[#This Row],[TransactionID]])&gt;0,tblTransactions[[#This Row],[Amount]]&lt;&gt;SUMIF(tblSettlement[TransactionID],tblTransactions[[#This Row],[TransactionID]],tblSettlement[SettledAmount]))," R6 - Settlement Amount Mismatch", "")</f>
        <v/>
      </c>
      <c r="O353" t="str">
        <f>IF(AND(tblTransactions[[#This Row],[CustomerRef]] &lt;&gt;"",COUNTIFS(tblTransactions[CustomerRef],tblTransactions[[#This Row],[CustomerRef]],tblTransactions[Amount],tblTransactions[[#This Row],[Amount]],tblTransactions[Date],tblTransactions[[#This Row],[Date]])&gt;1),"Yes","No")</f>
        <v>No</v>
      </c>
    </row>
    <row r="354" spans="1:15" x14ac:dyDescent="0.3">
      <c r="A354" t="s">
        <v>1038</v>
      </c>
      <c r="B354" s="2">
        <v>46210.611111111109</v>
      </c>
      <c r="C354" t="s">
        <v>9</v>
      </c>
      <c r="D354" t="s">
        <v>29</v>
      </c>
      <c r="E354" s="6">
        <v>23086.82</v>
      </c>
      <c r="F354" t="s">
        <v>11</v>
      </c>
      <c r="G354" t="s">
        <v>1039</v>
      </c>
      <c r="H354" t="s">
        <v>1040</v>
      </c>
      <c r="I354" s="116">
        <f>INT(tblTransactions[[#This Row],[TransactionDate]])</f>
        <v>46210</v>
      </c>
      <c r="J354" t="str">
        <f>IF(tblTransactions[[#This Row],[ApprovalID]]="", "R2 - Missing Approval Reference", "")</f>
        <v/>
      </c>
      <c r="K354" t="str">
        <f>IF(AND(tblTransactions[[#This Row],[ApprovalID]]&lt;&gt;"",COUNTIFS(tblApprovals[TransactionID],tblTransactions[[#This Row],[TransactionID]],tblApprovals[ApprovalID],tblTransactions[[#This Row],[ApprovalID]])=0),"R3 - Missing or Mismatched Approval Record", "")</f>
        <v/>
      </c>
      <c r="L35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4" t="str">
        <f>IF(AND(tblTransactions[[#This Row],[TransactionStatus]]="Success",COUNTIF(tblSettlement[TransactionID],tblTransactions[[#This Row],[TransactionID]])=0)," R5 - Successful Transaction Not Settled", "")</f>
        <v/>
      </c>
      <c r="N354" t="str">
        <f>IF(AND(COUNTIF(tblSettlement[TransactionID],tblTransactions[[#This Row],[TransactionID]])&gt;0,tblTransactions[[#This Row],[Amount]]&lt;&gt;SUMIF(tblSettlement[TransactionID],tblTransactions[[#This Row],[TransactionID]],tblSettlement[SettledAmount]))," R6 - Settlement Amount Mismatch", "")</f>
        <v/>
      </c>
      <c r="O354" t="str">
        <f>IF(AND(tblTransactions[[#This Row],[CustomerRef]] &lt;&gt;"",COUNTIFS(tblTransactions[CustomerRef],tblTransactions[[#This Row],[CustomerRef]],tblTransactions[Amount],tblTransactions[[#This Row],[Amount]],tblTransactions[Date],tblTransactions[[#This Row],[Date]])&gt;1),"Yes","No")</f>
        <v>No</v>
      </c>
    </row>
    <row r="355" spans="1:15" x14ac:dyDescent="0.3">
      <c r="A355" t="s">
        <v>1041</v>
      </c>
      <c r="B355" s="2">
        <v>46204.479166666664</v>
      </c>
      <c r="C355" t="s">
        <v>19</v>
      </c>
      <c r="D355" t="s">
        <v>29</v>
      </c>
      <c r="E355" s="6">
        <v>6075.92</v>
      </c>
      <c r="F355" t="s">
        <v>11</v>
      </c>
      <c r="H355" t="s">
        <v>1042</v>
      </c>
      <c r="I355" s="116">
        <f>INT(tblTransactions[[#This Row],[TransactionDate]])</f>
        <v>46204</v>
      </c>
      <c r="J355" t="str">
        <f>IF(tblTransactions[[#This Row],[ApprovalID]]="", "R2 - Missing Approval Reference", "")</f>
        <v>R2 - Missing Approval Reference</v>
      </c>
      <c r="K355" t="str">
        <f>IF(AND(tblTransactions[[#This Row],[ApprovalID]]&lt;&gt;"",COUNTIFS(tblApprovals[TransactionID],tblTransactions[[#This Row],[TransactionID]],tblApprovals[ApprovalID],tblTransactions[[#This Row],[ApprovalID]])=0),"R3 - Missing or Mismatched Approval Record", "")</f>
        <v/>
      </c>
      <c r="L35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5" t="str">
        <f>IF(AND(tblTransactions[[#This Row],[TransactionStatus]]="Success",COUNTIF(tblSettlement[TransactionID],tblTransactions[[#This Row],[TransactionID]])=0)," R5 - Successful Transaction Not Settled", "")</f>
        <v/>
      </c>
      <c r="N355" t="str">
        <f>IF(AND(COUNTIF(tblSettlement[TransactionID],tblTransactions[[#This Row],[TransactionID]])&gt;0,tblTransactions[[#This Row],[Amount]]&lt;&gt;SUMIF(tblSettlement[TransactionID],tblTransactions[[#This Row],[TransactionID]],tblSettlement[SettledAmount]))," R6 - Settlement Amount Mismatch", "")</f>
        <v/>
      </c>
      <c r="O355" t="str">
        <f>IF(AND(tblTransactions[[#This Row],[CustomerRef]] &lt;&gt;"",COUNTIFS(tblTransactions[CustomerRef],tblTransactions[[#This Row],[CustomerRef]],tblTransactions[Amount],tblTransactions[[#This Row],[Amount]],tblTransactions[Date],tblTransactions[[#This Row],[Date]])&gt;1),"Yes","No")</f>
        <v>No</v>
      </c>
    </row>
    <row r="356" spans="1:15" x14ac:dyDescent="0.3">
      <c r="A356" t="s">
        <v>1043</v>
      </c>
      <c r="B356" s="2">
        <v>46219.893750000003</v>
      </c>
      <c r="C356" t="s">
        <v>9</v>
      </c>
      <c r="D356" t="s">
        <v>29</v>
      </c>
      <c r="E356" s="6">
        <v>52128.82</v>
      </c>
      <c r="F356" t="s">
        <v>11</v>
      </c>
      <c r="G356" t="s">
        <v>1044</v>
      </c>
      <c r="H356" t="s">
        <v>1045</v>
      </c>
      <c r="I356" s="116">
        <f>INT(tblTransactions[[#This Row],[TransactionDate]])</f>
        <v>46219</v>
      </c>
      <c r="J356" t="str">
        <f>IF(tblTransactions[[#This Row],[ApprovalID]]="", "R2 - Missing Approval Reference", "")</f>
        <v/>
      </c>
      <c r="K356" t="str">
        <f>IF(AND(tblTransactions[[#This Row],[ApprovalID]]&lt;&gt;"",COUNTIFS(tblApprovals[TransactionID],tblTransactions[[#This Row],[TransactionID]],tblApprovals[ApprovalID],tblTransactions[[#This Row],[ApprovalID]])=0),"R3 - Missing or Mismatched Approval Record", "")</f>
        <v/>
      </c>
      <c r="L35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6" t="str">
        <f>IF(AND(tblTransactions[[#This Row],[TransactionStatus]]="Success",COUNTIF(tblSettlement[TransactionID],tblTransactions[[#This Row],[TransactionID]])=0)," R5 - Successful Transaction Not Settled", "")</f>
        <v/>
      </c>
      <c r="N356" t="str">
        <f>IF(AND(COUNTIF(tblSettlement[TransactionID],tblTransactions[[#This Row],[TransactionID]])&gt;0,tblTransactions[[#This Row],[Amount]]&lt;&gt;SUMIF(tblSettlement[TransactionID],tblTransactions[[#This Row],[TransactionID]],tblSettlement[SettledAmount]))," R6 - Settlement Amount Mismatch", "")</f>
        <v/>
      </c>
      <c r="O356" t="str">
        <f>IF(AND(tblTransactions[[#This Row],[CustomerRef]] &lt;&gt;"",COUNTIFS(tblTransactions[CustomerRef],tblTransactions[[#This Row],[CustomerRef]],tblTransactions[Amount],tblTransactions[[#This Row],[Amount]],tblTransactions[Date],tblTransactions[[#This Row],[Date]])&gt;1),"Yes","No")</f>
        <v>No</v>
      </c>
    </row>
    <row r="357" spans="1:15" x14ac:dyDescent="0.3">
      <c r="A357" t="s">
        <v>1046</v>
      </c>
      <c r="B357" s="2">
        <v>46217.557638888888</v>
      </c>
      <c r="C357" t="s">
        <v>9</v>
      </c>
      <c r="D357" t="s">
        <v>69</v>
      </c>
      <c r="E357" s="6">
        <v>66103.929999999993</v>
      </c>
      <c r="F357" t="s">
        <v>11</v>
      </c>
      <c r="H357" t="s">
        <v>1047</v>
      </c>
      <c r="I357" s="116">
        <f>INT(tblTransactions[[#This Row],[TransactionDate]])</f>
        <v>46217</v>
      </c>
      <c r="J357" t="str">
        <f>IF(tblTransactions[[#This Row],[ApprovalID]]="", "R2 - Missing Approval Reference", "")</f>
        <v>R2 - Missing Approval Reference</v>
      </c>
      <c r="K357" t="str">
        <f>IF(AND(tblTransactions[[#This Row],[ApprovalID]]&lt;&gt;"",COUNTIFS(tblApprovals[TransactionID],tblTransactions[[#This Row],[TransactionID]],tblApprovals[ApprovalID],tblTransactions[[#This Row],[ApprovalID]])=0),"R3 - Missing or Mismatched Approval Record", "")</f>
        <v/>
      </c>
      <c r="L35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7" t="str">
        <f>IF(AND(tblTransactions[[#This Row],[TransactionStatus]]="Success",COUNTIF(tblSettlement[TransactionID],tblTransactions[[#This Row],[TransactionID]])=0)," R5 - Successful Transaction Not Settled", "")</f>
        <v/>
      </c>
      <c r="N357" t="str">
        <f>IF(AND(COUNTIF(tblSettlement[TransactionID],tblTransactions[[#This Row],[TransactionID]])&gt;0,tblTransactions[[#This Row],[Amount]]&lt;&gt;SUMIF(tblSettlement[TransactionID],tblTransactions[[#This Row],[TransactionID]],tblSettlement[SettledAmount]))," R6 - Settlement Amount Mismatch", "")</f>
        <v/>
      </c>
      <c r="O357" t="str">
        <f>IF(AND(tblTransactions[[#This Row],[CustomerRef]] &lt;&gt;"",COUNTIFS(tblTransactions[CustomerRef],tblTransactions[[#This Row],[CustomerRef]],tblTransactions[Amount],tblTransactions[[#This Row],[Amount]],tblTransactions[Date],tblTransactions[[#This Row],[Date]])&gt;1),"Yes","No")</f>
        <v>No</v>
      </c>
    </row>
    <row r="358" spans="1:15" x14ac:dyDescent="0.3">
      <c r="A358" t="s">
        <v>1048</v>
      </c>
      <c r="B358" s="2">
        <v>46282.756944444445</v>
      </c>
      <c r="C358" t="s">
        <v>28</v>
      </c>
      <c r="D358" t="s">
        <v>69</v>
      </c>
      <c r="E358" s="6">
        <v>33147.43</v>
      </c>
      <c r="F358" t="s">
        <v>11</v>
      </c>
      <c r="G358" t="s">
        <v>1049</v>
      </c>
      <c r="H358" t="s">
        <v>1050</v>
      </c>
      <c r="I358" s="116">
        <f>INT(tblTransactions[[#This Row],[TransactionDate]])</f>
        <v>46282</v>
      </c>
      <c r="J358" t="str">
        <f>IF(tblTransactions[[#This Row],[ApprovalID]]="", "R2 - Missing Approval Reference", "")</f>
        <v/>
      </c>
      <c r="K358" t="str">
        <f>IF(AND(tblTransactions[[#This Row],[ApprovalID]]&lt;&gt;"",COUNTIFS(tblApprovals[TransactionID],tblTransactions[[#This Row],[TransactionID]],tblApprovals[ApprovalID],tblTransactions[[#This Row],[ApprovalID]])=0),"R3 - Missing or Mismatched Approval Record", "")</f>
        <v/>
      </c>
      <c r="L35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8" t="str">
        <f>IF(AND(tblTransactions[[#This Row],[TransactionStatus]]="Success",COUNTIF(tblSettlement[TransactionID],tblTransactions[[#This Row],[TransactionID]])=0)," R5 - Successful Transaction Not Settled", "")</f>
        <v/>
      </c>
      <c r="N358" t="str">
        <f>IF(AND(COUNTIF(tblSettlement[TransactionID],tblTransactions[[#This Row],[TransactionID]])&gt;0,tblTransactions[[#This Row],[Amount]]&lt;&gt;SUMIF(tblSettlement[TransactionID],tblTransactions[[#This Row],[TransactionID]],tblSettlement[SettledAmount]))," R6 - Settlement Amount Mismatch", "")</f>
        <v/>
      </c>
      <c r="O358" t="str">
        <f>IF(AND(tblTransactions[[#This Row],[CustomerRef]] &lt;&gt;"",COUNTIFS(tblTransactions[CustomerRef],tblTransactions[[#This Row],[CustomerRef]],tblTransactions[Amount],tblTransactions[[#This Row],[Amount]],tblTransactions[Date],tblTransactions[[#This Row],[Date]])&gt;1),"Yes","No")</f>
        <v>No</v>
      </c>
    </row>
    <row r="359" spans="1:15" x14ac:dyDescent="0.3">
      <c r="A359" t="s">
        <v>1051</v>
      </c>
      <c r="B359" s="2">
        <v>46231.414583333331</v>
      </c>
      <c r="C359" t="s">
        <v>19</v>
      </c>
      <c r="D359" t="s">
        <v>29</v>
      </c>
      <c r="E359" s="6">
        <v>7759.77</v>
      </c>
      <c r="F359" t="s">
        <v>11</v>
      </c>
      <c r="G359" t="s">
        <v>1052</v>
      </c>
      <c r="H359" t="s">
        <v>1053</v>
      </c>
      <c r="I359" s="116">
        <f>INT(tblTransactions[[#This Row],[TransactionDate]])</f>
        <v>46231</v>
      </c>
      <c r="J359" t="str">
        <f>IF(tblTransactions[[#This Row],[ApprovalID]]="", "R2 - Missing Approval Reference", "")</f>
        <v/>
      </c>
      <c r="K359" t="str">
        <f>IF(AND(tblTransactions[[#This Row],[ApprovalID]]&lt;&gt;"",COUNTIFS(tblApprovals[TransactionID],tblTransactions[[#This Row],[TransactionID]],tblApprovals[ApprovalID],tblTransactions[[#This Row],[ApprovalID]])=0),"R3 - Missing or Mismatched Approval Record", "")</f>
        <v/>
      </c>
      <c r="L35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59" t="str">
        <f>IF(AND(tblTransactions[[#This Row],[TransactionStatus]]="Success",COUNTIF(tblSettlement[TransactionID],tblTransactions[[#This Row],[TransactionID]])=0)," R5 - Successful Transaction Not Settled", "")</f>
        <v/>
      </c>
      <c r="N359" t="str">
        <f>IF(AND(COUNTIF(tblSettlement[TransactionID],tblTransactions[[#This Row],[TransactionID]])&gt;0,tblTransactions[[#This Row],[Amount]]&lt;&gt;SUMIF(tblSettlement[TransactionID],tblTransactions[[#This Row],[TransactionID]],tblSettlement[SettledAmount]))," R6 - Settlement Amount Mismatch", "")</f>
        <v/>
      </c>
      <c r="O359" t="str">
        <f>IF(AND(tblTransactions[[#This Row],[CustomerRef]] &lt;&gt;"",COUNTIFS(tblTransactions[CustomerRef],tblTransactions[[#This Row],[CustomerRef]],tblTransactions[Amount],tblTransactions[[#This Row],[Amount]],tblTransactions[Date],tblTransactions[[#This Row],[Date]])&gt;1),"Yes","No")</f>
        <v>No</v>
      </c>
    </row>
    <row r="360" spans="1:15" x14ac:dyDescent="0.3">
      <c r="A360" t="s">
        <v>1054</v>
      </c>
      <c r="B360" s="2">
        <v>46244.838888888888</v>
      </c>
      <c r="C360" t="s">
        <v>9</v>
      </c>
      <c r="D360" t="s">
        <v>15</v>
      </c>
      <c r="E360" s="6">
        <v>18772.03</v>
      </c>
      <c r="F360" t="s">
        <v>11</v>
      </c>
      <c r="G360" t="s">
        <v>1055</v>
      </c>
      <c r="H360" t="s">
        <v>1056</v>
      </c>
      <c r="I360" s="116">
        <f>INT(tblTransactions[[#This Row],[TransactionDate]])</f>
        <v>46244</v>
      </c>
      <c r="J360" t="str">
        <f>IF(tblTransactions[[#This Row],[ApprovalID]]="", "R2 - Missing Approval Reference", "")</f>
        <v/>
      </c>
      <c r="K360" t="str">
        <f>IF(AND(tblTransactions[[#This Row],[ApprovalID]]&lt;&gt;"",COUNTIFS(tblApprovals[TransactionID],tblTransactions[[#This Row],[TransactionID]],tblApprovals[ApprovalID],tblTransactions[[#This Row],[ApprovalID]])=0),"R3 - Missing or Mismatched Approval Record", "")</f>
        <v/>
      </c>
      <c r="L36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0" t="str">
        <f>IF(AND(tblTransactions[[#This Row],[TransactionStatus]]="Success",COUNTIF(tblSettlement[TransactionID],tblTransactions[[#This Row],[TransactionID]])=0)," R5 - Successful Transaction Not Settled", "")</f>
        <v/>
      </c>
      <c r="N360" t="str">
        <f>IF(AND(COUNTIF(tblSettlement[TransactionID],tblTransactions[[#This Row],[TransactionID]])&gt;0,tblTransactions[[#This Row],[Amount]]&lt;&gt;SUMIF(tblSettlement[TransactionID],tblTransactions[[#This Row],[TransactionID]],tblSettlement[SettledAmount]))," R6 - Settlement Amount Mismatch", "")</f>
        <v/>
      </c>
      <c r="O360" t="str">
        <f>IF(AND(tblTransactions[[#This Row],[CustomerRef]] &lt;&gt;"",COUNTIFS(tblTransactions[CustomerRef],tblTransactions[[#This Row],[CustomerRef]],tblTransactions[Amount],tblTransactions[[#This Row],[Amount]],tblTransactions[Date],tblTransactions[[#This Row],[Date]])&gt;1),"Yes","No")</f>
        <v>No</v>
      </c>
    </row>
    <row r="361" spans="1:15" x14ac:dyDescent="0.3">
      <c r="A361" t="s">
        <v>1057</v>
      </c>
      <c r="B361" s="2">
        <v>46292.370833333334</v>
      </c>
      <c r="C361" t="s">
        <v>9</v>
      </c>
      <c r="D361" t="s">
        <v>15</v>
      </c>
      <c r="E361" s="6">
        <v>63568.480000000003</v>
      </c>
      <c r="F361" t="s">
        <v>11</v>
      </c>
      <c r="G361" t="s">
        <v>1058</v>
      </c>
      <c r="H361" t="s">
        <v>1059</v>
      </c>
      <c r="I361" s="116">
        <f>INT(tblTransactions[[#This Row],[TransactionDate]])</f>
        <v>46292</v>
      </c>
      <c r="J361" t="str">
        <f>IF(tblTransactions[[#This Row],[ApprovalID]]="", "R2 - Missing Approval Reference", "")</f>
        <v/>
      </c>
      <c r="K361" t="str">
        <f>IF(AND(tblTransactions[[#This Row],[ApprovalID]]&lt;&gt;"",COUNTIFS(tblApprovals[TransactionID],tblTransactions[[#This Row],[TransactionID]],tblApprovals[ApprovalID],tblTransactions[[#This Row],[ApprovalID]])=0),"R3 - Missing or Mismatched Approval Record", "")</f>
        <v/>
      </c>
      <c r="L36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1" t="str">
        <f>IF(AND(tblTransactions[[#This Row],[TransactionStatus]]="Success",COUNTIF(tblSettlement[TransactionID],tblTransactions[[#This Row],[TransactionID]])=0)," R5 - Successful Transaction Not Settled", "")</f>
        <v/>
      </c>
      <c r="N361" t="str">
        <f>IF(AND(COUNTIF(tblSettlement[TransactionID],tblTransactions[[#This Row],[TransactionID]])&gt;0,tblTransactions[[#This Row],[Amount]]&lt;&gt;SUMIF(tblSettlement[TransactionID],tblTransactions[[#This Row],[TransactionID]],tblSettlement[SettledAmount]))," R6 - Settlement Amount Mismatch", "")</f>
        <v/>
      </c>
      <c r="O361" t="str">
        <f>IF(AND(tblTransactions[[#This Row],[CustomerRef]] &lt;&gt;"",COUNTIFS(tblTransactions[CustomerRef],tblTransactions[[#This Row],[CustomerRef]],tblTransactions[Amount],tblTransactions[[#This Row],[Amount]],tblTransactions[Date],tblTransactions[[#This Row],[Date]])&gt;1),"Yes","No")</f>
        <v>No</v>
      </c>
    </row>
    <row r="362" spans="1:15" x14ac:dyDescent="0.3">
      <c r="A362" t="s">
        <v>1060</v>
      </c>
      <c r="B362" s="2">
        <v>46254.52847222222</v>
      </c>
      <c r="C362" t="s">
        <v>9</v>
      </c>
      <c r="D362" t="s">
        <v>29</v>
      </c>
      <c r="E362" s="6">
        <v>4329.04</v>
      </c>
      <c r="F362" t="s">
        <v>111</v>
      </c>
      <c r="G362" t="s">
        <v>1061</v>
      </c>
      <c r="H362" t="s">
        <v>1062</v>
      </c>
      <c r="I362" s="116">
        <f>INT(tblTransactions[[#This Row],[TransactionDate]])</f>
        <v>46254</v>
      </c>
      <c r="J362" t="str">
        <f>IF(tblTransactions[[#This Row],[ApprovalID]]="", "R2 - Missing Approval Reference", "")</f>
        <v/>
      </c>
      <c r="K362" t="str">
        <f>IF(AND(tblTransactions[[#This Row],[ApprovalID]]&lt;&gt;"",COUNTIFS(tblApprovals[TransactionID],tblTransactions[[#This Row],[TransactionID]],tblApprovals[ApprovalID],tblTransactions[[#This Row],[ApprovalID]])=0),"R3 - Missing or Mismatched Approval Record", "")</f>
        <v/>
      </c>
      <c r="L36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2" t="str">
        <f>IF(AND(tblTransactions[[#This Row],[TransactionStatus]]="Success",COUNTIF(tblSettlement[TransactionID],tblTransactions[[#This Row],[TransactionID]])=0)," R5 - Successful Transaction Not Settled", "")</f>
        <v/>
      </c>
      <c r="N362" t="str">
        <f>IF(AND(COUNTIF(tblSettlement[TransactionID],tblTransactions[[#This Row],[TransactionID]])&gt;0,tblTransactions[[#This Row],[Amount]]&lt;&gt;SUMIF(tblSettlement[TransactionID],tblTransactions[[#This Row],[TransactionID]],tblSettlement[SettledAmount]))," R6 - Settlement Amount Mismatch", "")</f>
        <v/>
      </c>
      <c r="O362" t="str">
        <f>IF(AND(tblTransactions[[#This Row],[CustomerRef]] &lt;&gt;"",COUNTIFS(tblTransactions[CustomerRef],tblTransactions[[#This Row],[CustomerRef]],tblTransactions[Amount],tblTransactions[[#This Row],[Amount]],tblTransactions[Date],tblTransactions[[#This Row],[Date]])&gt;1),"Yes","No")</f>
        <v>No</v>
      </c>
    </row>
    <row r="363" spans="1:15" x14ac:dyDescent="0.3">
      <c r="A363" t="s">
        <v>1063</v>
      </c>
      <c r="B363" s="2">
        <v>46267.776388888888</v>
      </c>
      <c r="C363" t="s">
        <v>47</v>
      </c>
      <c r="D363" t="s">
        <v>20</v>
      </c>
      <c r="E363" s="6">
        <v>5558.15</v>
      </c>
      <c r="F363" t="s">
        <v>111</v>
      </c>
      <c r="G363" t="s">
        <v>1064</v>
      </c>
      <c r="H363" t="s">
        <v>1065</v>
      </c>
      <c r="I363" s="116">
        <f>INT(tblTransactions[[#This Row],[TransactionDate]])</f>
        <v>46267</v>
      </c>
      <c r="J363" t="str">
        <f>IF(tblTransactions[[#This Row],[ApprovalID]]="", "R2 - Missing Approval Reference", "")</f>
        <v/>
      </c>
      <c r="K363" t="str">
        <f>IF(AND(tblTransactions[[#This Row],[ApprovalID]]&lt;&gt;"",COUNTIFS(tblApprovals[TransactionID],tblTransactions[[#This Row],[TransactionID]],tblApprovals[ApprovalID],tblTransactions[[#This Row],[ApprovalID]])=0),"R3 - Missing or Mismatched Approval Record", "")</f>
        <v/>
      </c>
      <c r="L36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3" t="str">
        <f>IF(AND(tblTransactions[[#This Row],[TransactionStatus]]="Success",COUNTIF(tblSettlement[TransactionID],tblTransactions[[#This Row],[TransactionID]])=0)," R5 - Successful Transaction Not Settled", "")</f>
        <v/>
      </c>
      <c r="N363" t="str">
        <f>IF(AND(COUNTIF(tblSettlement[TransactionID],tblTransactions[[#This Row],[TransactionID]])&gt;0,tblTransactions[[#This Row],[Amount]]&lt;&gt;SUMIF(tblSettlement[TransactionID],tblTransactions[[#This Row],[TransactionID]],tblSettlement[SettledAmount]))," R6 - Settlement Amount Mismatch", "")</f>
        <v/>
      </c>
      <c r="O363" t="str">
        <f>IF(AND(tblTransactions[[#This Row],[CustomerRef]] &lt;&gt;"",COUNTIFS(tblTransactions[CustomerRef],tblTransactions[[#This Row],[CustomerRef]],tblTransactions[Amount],tblTransactions[[#This Row],[Amount]],tblTransactions[Date],tblTransactions[[#This Row],[Date]])&gt;1),"Yes","No")</f>
        <v>No</v>
      </c>
    </row>
    <row r="364" spans="1:15" x14ac:dyDescent="0.3">
      <c r="A364" t="s">
        <v>1066</v>
      </c>
      <c r="B364" s="2">
        <v>46253.911805555559</v>
      </c>
      <c r="C364" t="s">
        <v>28</v>
      </c>
      <c r="D364" t="s">
        <v>69</v>
      </c>
      <c r="E364" s="6">
        <v>42736.43</v>
      </c>
      <c r="F364" t="s">
        <v>11</v>
      </c>
      <c r="G364" t="s">
        <v>1067</v>
      </c>
      <c r="H364" t="s">
        <v>1068</v>
      </c>
      <c r="I364" s="116">
        <f>INT(tblTransactions[[#This Row],[TransactionDate]])</f>
        <v>46253</v>
      </c>
      <c r="J364" t="str">
        <f>IF(tblTransactions[[#This Row],[ApprovalID]]="", "R2 - Missing Approval Reference", "")</f>
        <v/>
      </c>
      <c r="K364" t="str">
        <f>IF(AND(tblTransactions[[#This Row],[ApprovalID]]&lt;&gt;"",COUNTIFS(tblApprovals[TransactionID],tblTransactions[[#This Row],[TransactionID]],tblApprovals[ApprovalID],tblTransactions[[#This Row],[ApprovalID]])=0),"R3 - Missing or Mismatched Approval Record", "")</f>
        <v/>
      </c>
      <c r="L36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4" t="str">
        <f>IF(AND(tblTransactions[[#This Row],[TransactionStatus]]="Success",COUNTIF(tblSettlement[TransactionID],tblTransactions[[#This Row],[TransactionID]])=0)," R5 - Successful Transaction Not Settled", "")</f>
        <v/>
      </c>
      <c r="N364" t="str">
        <f>IF(AND(COUNTIF(tblSettlement[TransactionID],tblTransactions[[#This Row],[TransactionID]])&gt;0,tblTransactions[[#This Row],[Amount]]&lt;&gt;SUMIF(tblSettlement[TransactionID],tblTransactions[[#This Row],[TransactionID]],tblSettlement[SettledAmount]))," R6 - Settlement Amount Mismatch", "")</f>
        <v/>
      </c>
      <c r="O364" t="str">
        <f>IF(AND(tblTransactions[[#This Row],[CustomerRef]] &lt;&gt;"",COUNTIFS(tblTransactions[CustomerRef],tblTransactions[[#This Row],[CustomerRef]],tblTransactions[Amount],tblTransactions[[#This Row],[Amount]],tblTransactions[Date],tblTransactions[[#This Row],[Date]])&gt;1),"Yes","No")</f>
        <v>No</v>
      </c>
    </row>
    <row r="365" spans="1:15" x14ac:dyDescent="0.3">
      <c r="A365" t="s">
        <v>1069</v>
      </c>
      <c r="B365" s="2">
        <v>46206.711111111108</v>
      </c>
      <c r="C365" t="s">
        <v>47</v>
      </c>
      <c r="D365" t="s">
        <v>29</v>
      </c>
      <c r="E365" s="6">
        <v>1281.06</v>
      </c>
      <c r="F365" t="s">
        <v>11</v>
      </c>
      <c r="G365" t="s">
        <v>1070</v>
      </c>
      <c r="H365" t="s">
        <v>1071</v>
      </c>
      <c r="I365" s="116">
        <f>INT(tblTransactions[[#This Row],[TransactionDate]])</f>
        <v>46206</v>
      </c>
      <c r="J365" t="str">
        <f>IF(tblTransactions[[#This Row],[ApprovalID]]="", "R2 - Missing Approval Reference", "")</f>
        <v/>
      </c>
      <c r="K365" t="str">
        <f>IF(AND(tblTransactions[[#This Row],[ApprovalID]]&lt;&gt;"",COUNTIFS(tblApprovals[TransactionID],tblTransactions[[#This Row],[TransactionID]],tblApprovals[ApprovalID],tblTransactions[[#This Row],[ApprovalID]])=0),"R3 - Missing or Mismatched Approval Record", "")</f>
        <v/>
      </c>
      <c r="L36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5" t="str">
        <f>IF(AND(tblTransactions[[#This Row],[TransactionStatus]]="Success",COUNTIF(tblSettlement[TransactionID],tblTransactions[[#This Row],[TransactionID]])=0)," R5 - Successful Transaction Not Settled", "")</f>
        <v xml:space="preserve"> R5 - Successful Transaction Not Settled</v>
      </c>
      <c r="N365" t="str">
        <f>IF(AND(COUNTIF(tblSettlement[TransactionID],tblTransactions[[#This Row],[TransactionID]])&gt;0,tblTransactions[[#This Row],[Amount]]&lt;&gt;SUMIF(tblSettlement[TransactionID],tblTransactions[[#This Row],[TransactionID]],tblSettlement[SettledAmount]))," R6 - Settlement Amount Mismatch", "")</f>
        <v/>
      </c>
      <c r="O365" t="str">
        <f>IF(AND(tblTransactions[[#This Row],[CustomerRef]] &lt;&gt;"",COUNTIFS(tblTransactions[CustomerRef],tblTransactions[[#This Row],[CustomerRef]],tblTransactions[Amount],tblTransactions[[#This Row],[Amount]],tblTransactions[Date],tblTransactions[[#This Row],[Date]])&gt;1),"Yes","No")</f>
        <v>No</v>
      </c>
    </row>
    <row r="366" spans="1:15" x14ac:dyDescent="0.3">
      <c r="A366" t="s">
        <v>1072</v>
      </c>
      <c r="B366" s="2">
        <v>46257.613888888889</v>
      </c>
      <c r="C366" t="s">
        <v>19</v>
      </c>
      <c r="D366" t="s">
        <v>15</v>
      </c>
      <c r="E366" s="6">
        <v>30320.240000000002</v>
      </c>
      <c r="F366" t="s">
        <v>11</v>
      </c>
      <c r="G366" t="s">
        <v>1073</v>
      </c>
      <c r="H366" t="s">
        <v>1074</v>
      </c>
      <c r="I366" s="116">
        <f>INT(tblTransactions[[#This Row],[TransactionDate]])</f>
        <v>46257</v>
      </c>
      <c r="J366" t="str">
        <f>IF(tblTransactions[[#This Row],[ApprovalID]]="", "R2 - Missing Approval Reference", "")</f>
        <v/>
      </c>
      <c r="K366" t="str">
        <f>IF(AND(tblTransactions[[#This Row],[ApprovalID]]&lt;&gt;"",COUNTIFS(tblApprovals[TransactionID],tblTransactions[[#This Row],[TransactionID]],tblApprovals[ApprovalID],tblTransactions[[#This Row],[ApprovalID]])=0),"R3 - Missing or Mismatched Approval Record", "")</f>
        <v/>
      </c>
      <c r="L36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66" t="str">
        <f>IF(AND(tblTransactions[[#This Row],[TransactionStatus]]="Success",COUNTIF(tblSettlement[TransactionID],tblTransactions[[#This Row],[TransactionID]])=0)," R5 - Successful Transaction Not Settled", "")</f>
        <v/>
      </c>
      <c r="N366" t="str">
        <f>IF(AND(COUNTIF(tblSettlement[TransactionID],tblTransactions[[#This Row],[TransactionID]])&gt;0,tblTransactions[[#This Row],[Amount]]&lt;&gt;SUMIF(tblSettlement[TransactionID],tblTransactions[[#This Row],[TransactionID]],tblSettlement[SettledAmount]))," R6 - Settlement Amount Mismatch", "")</f>
        <v/>
      </c>
      <c r="O366" t="str">
        <f>IF(AND(tblTransactions[[#This Row],[CustomerRef]] &lt;&gt;"",COUNTIFS(tblTransactions[CustomerRef],tblTransactions[[#This Row],[CustomerRef]],tblTransactions[Amount],tblTransactions[[#This Row],[Amount]],tblTransactions[Date],tblTransactions[[#This Row],[Date]])&gt;1),"Yes","No")</f>
        <v>No</v>
      </c>
    </row>
    <row r="367" spans="1:15" x14ac:dyDescent="0.3">
      <c r="A367" t="s">
        <v>1075</v>
      </c>
      <c r="B367" s="2">
        <v>46243.397222222222</v>
      </c>
      <c r="C367" t="s">
        <v>9</v>
      </c>
      <c r="D367" t="s">
        <v>15</v>
      </c>
      <c r="E367" s="6">
        <v>69089.13</v>
      </c>
      <c r="F367" t="s">
        <v>36</v>
      </c>
      <c r="G367" t="s">
        <v>1076</v>
      </c>
      <c r="H367" t="s">
        <v>1077</v>
      </c>
      <c r="I367" s="116">
        <f>INT(tblTransactions[[#This Row],[TransactionDate]])</f>
        <v>46243</v>
      </c>
      <c r="J367" t="str">
        <f>IF(tblTransactions[[#This Row],[ApprovalID]]="", "R2 - Missing Approval Reference", "")</f>
        <v/>
      </c>
      <c r="K367" t="str">
        <f>IF(AND(tblTransactions[[#This Row],[ApprovalID]]&lt;&gt;"",COUNTIFS(tblApprovals[TransactionID],tblTransactions[[#This Row],[TransactionID]],tblApprovals[ApprovalID],tblTransactions[[#This Row],[ApprovalID]])=0),"R3 - Missing or Mismatched Approval Record", "")</f>
        <v/>
      </c>
      <c r="L36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7" t="str">
        <f>IF(AND(tblTransactions[[#This Row],[TransactionStatus]]="Success",COUNTIF(tblSettlement[TransactionID],tblTransactions[[#This Row],[TransactionID]])=0)," R5 - Successful Transaction Not Settled", "")</f>
        <v/>
      </c>
      <c r="N367" t="str">
        <f>IF(AND(COUNTIF(tblSettlement[TransactionID],tblTransactions[[#This Row],[TransactionID]])&gt;0,tblTransactions[[#This Row],[Amount]]&lt;&gt;SUMIF(tblSettlement[TransactionID],tblTransactions[[#This Row],[TransactionID]],tblSettlement[SettledAmount]))," R6 - Settlement Amount Mismatch", "")</f>
        <v/>
      </c>
      <c r="O367" t="str">
        <f>IF(AND(tblTransactions[[#This Row],[CustomerRef]] &lt;&gt;"",COUNTIFS(tblTransactions[CustomerRef],tblTransactions[[#This Row],[CustomerRef]],tblTransactions[Amount],tblTransactions[[#This Row],[Amount]],tblTransactions[Date],tblTransactions[[#This Row],[Date]])&gt;1),"Yes","No")</f>
        <v>No</v>
      </c>
    </row>
    <row r="368" spans="1:15" x14ac:dyDescent="0.3">
      <c r="A368" t="s">
        <v>1078</v>
      </c>
      <c r="B368" s="2">
        <v>46243.810416666667</v>
      </c>
      <c r="C368" t="s">
        <v>47</v>
      </c>
      <c r="D368" t="s">
        <v>69</v>
      </c>
      <c r="E368" s="6">
        <v>54814.39</v>
      </c>
      <c r="F368" t="s">
        <v>11</v>
      </c>
      <c r="G368" t="s">
        <v>1079</v>
      </c>
      <c r="H368" t="s">
        <v>1080</v>
      </c>
      <c r="I368" s="116">
        <f>INT(tblTransactions[[#This Row],[TransactionDate]])</f>
        <v>46243</v>
      </c>
      <c r="J368" t="str">
        <f>IF(tblTransactions[[#This Row],[ApprovalID]]="", "R2 - Missing Approval Reference", "")</f>
        <v/>
      </c>
      <c r="K368" t="str">
        <f>IF(AND(tblTransactions[[#This Row],[ApprovalID]]&lt;&gt;"",COUNTIFS(tblApprovals[TransactionID],tblTransactions[[#This Row],[TransactionID]],tblApprovals[ApprovalID],tblTransactions[[#This Row],[ApprovalID]])=0),"R3 - Missing or Mismatched Approval Record", "")</f>
        <v/>
      </c>
      <c r="L36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68" t="str">
        <f>IF(AND(tblTransactions[[#This Row],[TransactionStatus]]="Success",COUNTIF(tblSettlement[TransactionID],tblTransactions[[#This Row],[TransactionID]])=0)," R5 - Successful Transaction Not Settled", "")</f>
        <v/>
      </c>
      <c r="N368" t="str">
        <f>IF(AND(COUNTIF(tblSettlement[TransactionID],tblTransactions[[#This Row],[TransactionID]])&gt;0,tblTransactions[[#This Row],[Amount]]&lt;&gt;SUMIF(tblSettlement[TransactionID],tblTransactions[[#This Row],[TransactionID]],tblSettlement[SettledAmount]))," R6 - Settlement Amount Mismatch", "")</f>
        <v/>
      </c>
      <c r="O368" t="str">
        <f>IF(AND(tblTransactions[[#This Row],[CustomerRef]] &lt;&gt;"",COUNTIFS(tblTransactions[CustomerRef],tblTransactions[[#This Row],[CustomerRef]],tblTransactions[Amount],tblTransactions[[#This Row],[Amount]],tblTransactions[Date],tblTransactions[[#This Row],[Date]])&gt;1),"Yes","No")</f>
        <v>No</v>
      </c>
    </row>
    <row r="369" spans="1:15" x14ac:dyDescent="0.3">
      <c r="A369" t="s">
        <v>1081</v>
      </c>
      <c r="B369" s="2">
        <v>46218.652083333334</v>
      </c>
      <c r="C369" t="s">
        <v>28</v>
      </c>
      <c r="D369" t="s">
        <v>69</v>
      </c>
      <c r="E369" s="6">
        <v>45760.22</v>
      </c>
      <c r="F369" t="s">
        <v>11</v>
      </c>
      <c r="G369" t="s">
        <v>1082</v>
      </c>
      <c r="H369" t="s">
        <v>1083</v>
      </c>
      <c r="I369" s="116">
        <f>INT(tblTransactions[[#This Row],[TransactionDate]])</f>
        <v>46218</v>
      </c>
      <c r="J369" t="str">
        <f>IF(tblTransactions[[#This Row],[ApprovalID]]="", "R2 - Missing Approval Reference", "")</f>
        <v/>
      </c>
      <c r="K369" t="str">
        <f>IF(AND(tblTransactions[[#This Row],[ApprovalID]]&lt;&gt;"",COUNTIFS(tblApprovals[TransactionID],tblTransactions[[#This Row],[TransactionID]],tblApprovals[ApprovalID],tblTransactions[[#This Row],[ApprovalID]])=0),"R3 - Missing or Mismatched Approval Record", "")</f>
        <v/>
      </c>
      <c r="L36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69" t="str">
        <f>IF(AND(tblTransactions[[#This Row],[TransactionStatus]]="Success",COUNTIF(tblSettlement[TransactionID],tblTransactions[[#This Row],[TransactionID]])=0)," R5 - Successful Transaction Not Settled", "")</f>
        <v xml:space="preserve"> R5 - Successful Transaction Not Settled</v>
      </c>
      <c r="N369" t="str">
        <f>IF(AND(COUNTIF(tblSettlement[TransactionID],tblTransactions[[#This Row],[TransactionID]])&gt;0,tblTransactions[[#This Row],[Amount]]&lt;&gt;SUMIF(tblSettlement[TransactionID],tblTransactions[[#This Row],[TransactionID]],tblSettlement[SettledAmount]))," R6 - Settlement Amount Mismatch", "")</f>
        <v/>
      </c>
      <c r="O369" t="str">
        <f>IF(AND(tblTransactions[[#This Row],[CustomerRef]] &lt;&gt;"",COUNTIFS(tblTransactions[CustomerRef],tblTransactions[[#This Row],[CustomerRef]],tblTransactions[Amount],tblTransactions[[#This Row],[Amount]],tblTransactions[Date],tblTransactions[[#This Row],[Date]])&gt;1),"Yes","No")</f>
        <v>No</v>
      </c>
    </row>
    <row r="370" spans="1:15" x14ac:dyDescent="0.3">
      <c r="A370" t="s">
        <v>1084</v>
      </c>
      <c r="B370" s="2">
        <v>46293.340277777781</v>
      </c>
      <c r="C370" t="s">
        <v>19</v>
      </c>
      <c r="D370" t="s">
        <v>20</v>
      </c>
      <c r="E370" s="6">
        <v>37356.870000000003</v>
      </c>
      <c r="F370" t="s">
        <v>11</v>
      </c>
      <c r="G370" t="s">
        <v>1085</v>
      </c>
      <c r="H370" t="s">
        <v>1086</v>
      </c>
      <c r="I370" s="116">
        <f>INT(tblTransactions[[#This Row],[TransactionDate]])</f>
        <v>46293</v>
      </c>
      <c r="J370" t="str">
        <f>IF(tblTransactions[[#This Row],[ApprovalID]]="", "R2 - Missing Approval Reference", "")</f>
        <v/>
      </c>
      <c r="K370" t="str">
        <f>IF(AND(tblTransactions[[#This Row],[ApprovalID]]&lt;&gt;"",COUNTIFS(tblApprovals[TransactionID],tblTransactions[[#This Row],[TransactionID]],tblApprovals[ApprovalID],tblTransactions[[#This Row],[ApprovalID]])=0),"R3 - Missing or Mismatched Approval Record", "")</f>
        <v/>
      </c>
      <c r="L37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0" t="str">
        <f>IF(AND(tblTransactions[[#This Row],[TransactionStatus]]="Success",COUNTIF(tblSettlement[TransactionID],tblTransactions[[#This Row],[TransactionID]])=0)," R5 - Successful Transaction Not Settled", "")</f>
        <v/>
      </c>
      <c r="N370" t="str">
        <f>IF(AND(COUNTIF(tblSettlement[TransactionID],tblTransactions[[#This Row],[TransactionID]])&gt;0,tblTransactions[[#This Row],[Amount]]&lt;&gt;SUMIF(tblSettlement[TransactionID],tblTransactions[[#This Row],[TransactionID]],tblSettlement[SettledAmount]))," R6 - Settlement Amount Mismatch", "")</f>
        <v/>
      </c>
      <c r="O370" t="str">
        <f>IF(AND(tblTransactions[[#This Row],[CustomerRef]] &lt;&gt;"",COUNTIFS(tblTransactions[CustomerRef],tblTransactions[[#This Row],[CustomerRef]],tblTransactions[Amount],tblTransactions[[#This Row],[Amount]],tblTransactions[Date],tblTransactions[[#This Row],[Date]])&gt;1),"Yes","No")</f>
        <v>No</v>
      </c>
    </row>
    <row r="371" spans="1:15" x14ac:dyDescent="0.3">
      <c r="A371" t="s">
        <v>1087</v>
      </c>
      <c r="B371" s="2">
        <v>46238.830555555556</v>
      </c>
      <c r="C371" t="s">
        <v>24</v>
      </c>
      <c r="D371" t="s">
        <v>29</v>
      </c>
      <c r="E371" s="6">
        <v>9074.74</v>
      </c>
      <c r="F371" t="s">
        <v>111</v>
      </c>
      <c r="G371" t="s">
        <v>1088</v>
      </c>
      <c r="H371" t="s">
        <v>1089</v>
      </c>
      <c r="I371" s="116">
        <f>INT(tblTransactions[[#This Row],[TransactionDate]])</f>
        <v>46238</v>
      </c>
      <c r="J371" t="str">
        <f>IF(tblTransactions[[#This Row],[ApprovalID]]="", "R2 - Missing Approval Reference", "")</f>
        <v/>
      </c>
      <c r="K371" t="str">
        <f>IF(AND(tblTransactions[[#This Row],[ApprovalID]]&lt;&gt;"",COUNTIFS(tblApprovals[TransactionID],tblTransactions[[#This Row],[TransactionID]],tblApprovals[ApprovalID],tblTransactions[[#This Row],[ApprovalID]])=0),"R3 - Missing or Mismatched Approval Record", "")</f>
        <v/>
      </c>
      <c r="L37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1" t="str">
        <f>IF(AND(tblTransactions[[#This Row],[TransactionStatus]]="Success",COUNTIF(tblSettlement[TransactionID],tblTransactions[[#This Row],[TransactionID]])=0)," R5 - Successful Transaction Not Settled", "")</f>
        <v/>
      </c>
      <c r="N371" t="str">
        <f>IF(AND(COUNTIF(tblSettlement[TransactionID],tblTransactions[[#This Row],[TransactionID]])&gt;0,tblTransactions[[#This Row],[Amount]]&lt;&gt;SUMIF(tblSettlement[TransactionID],tblTransactions[[#This Row],[TransactionID]],tblSettlement[SettledAmount]))," R6 - Settlement Amount Mismatch", "")</f>
        <v/>
      </c>
      <c r="O371" t="str">
        <f>IF(AND(tblTransactions[[#This Row],[CustomerRef]] &lt;&gt;"",COUNTIFS(tblTransactions[CustomerRef],tblTransactions[[#This Row],[CustomerRef]],tblTransactions[Amount],tblTransactions[[#This Row],[Amount]],tblTransactions[Date],tblTransactions[[#This Row],[Date]])&gt;1),"Yes","No")</f>
        <v>No</v>
      </c>
    </row>
    <row r="372" spans="1:15" x14ac:dyDescent="0.3">
      <c r="A372" t="s">
        <v>1090</v>
      </c>
      <c r="B372" s="2">
        <v>46237.816666666666</v>
      </c>
      <c r="C372" t="s">
        <v>19</v>
      </c>
      <c r="D372" t="s">
        <v>20</v>
      </c>
      <c r="E372" s="6">
        <v>47158.080000000002</v>
      </c>
      <c r="F372" t="s">
        <v>11</v>
      </c>
      <c r="H372" t="s">
        <v>1091</v>
      </c>
      <c r="I372" s="116">
        <f>INT(tblTransactions[[#This Row],[TransactionDate]])</f>
        <v>46237</v>
      </c>
      <c r="J372" t="str">
        <f>IF(tblTransactions[[#This Row],[ApprovalID]]="", "R2 - Missing Approval Reference", "")</f>
        <v>R2 - Missing Approval Reference</v>
      </c>
      <c r="K372" t="str">
        <f>IF(AND(tblTransactions[[#This Row],[ApprovalID]]&lt;&gt;"",COUNTIFS(tblApprovals[TransactionID],tblTransactions[[#This Row],[TransactionID]],tblApprovals[ApprovalID],tblTransactions[[#This Row],[ApprovalID]])=0),"R3 - Missing or Mismatched Approval Record", "")</f>
        <v/>
      </c>
      <c r="L37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2" t="str">
        <f>IF(AND(tblTransactions[[#This Row],[TransactionStatus]]="Success",COUNTIF(tblSettlement[TransactionID],tblTransactions[[#This Row],[TransactionID]])=0)," R5 - Successful Transaction Not Settled", "")</f>
        <v xml:space="preserve"> R5 - Successful Transaction Not Settled</v>
      </c>
      <c r="N372" t="str">
        <f>IF(AND(COUNTIF(tblSettlement[TransactionID],tblTransactions[[#This Row],[TransactionID]])&gt;0,tblTransactions[[#This Row],[Amount]]&lt;&gt;SUMIF(tblSettlement[TransactionID],tblTransactions[[#This Row],[TransactionID]],tblSettlement[SettledAmount]))," R6 - Settlement Amount Mismatch", "")</f>
        <v/>
      </c>
      <c r="O372" t="str">
        <f>IF(AND(tblTransactions[[#This Row],[CustomerRef]] &lt;&gt;"",COUNTIFS(tblTransactions[CustomerRef],tblTransactions[[#This Row],[CustomerRef]],tblTransactions[Amount],tblTransactions[[#This Row],[Amount]],tblTransactions[Date],tblTransactions[[#This Row],[Date]])&gt;1),"Yes","No")</f>
        <v>No</v>
      </c>
    </row>
    <row r="373" spans="1:15" x14ac:dyDescent="0.3">
      <c r="A373" t="s">
        <v>1092</v>
      </c>
      <c r="B373" s="2">
        <v>46251.427777777775</v>
      </c>
      <c r="C373" t="s">
        <v>28</v>
      </c>
      <c r="D373" t="s">
        <v>10</v>
      </c>
      <c r="E373" s="6">
        <v>58056.34</v>
      </c>
      <c r="F373" t="s">
        <v>111</v>
      </c>
      <c r="G373" t="s">
        <v>1093</v>
      </c>
      <c r="H373" t="s">
        <v>1094</v>
      </c>
      <c r="I373" s="116">
        <f>INT(tblTransactions[[#This Row],[TransactionDate]])</f>
        <v>46251</v>
      </c>
      <c r="J373" t="str">
        <f>IF(tblTransactions[[#This Row],[ApprovalID]]="", "R2 - Missing Approval Reference", "")</f>
        <v/>
      </c>
      <c r="K373" t="str">
        <f>IF(AND(tblTransactions[[#This Row],[ApprovalID]]&lt;&gt;"",COUNTIFS(tblApprovals[TransactionID],tblTransactions[[#This Row],[TransactionID]],tblApprovals[ApprovalID],tblTransactions[[#This Row],[ApprovalID]])=0),"R3 - Missing or Mismatched Approval Record", "")</f>
        <v/>
      </c>
      <c r="L37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3" t="str">
        <f>IF(AND(tblTransactions[[#This Row],[TransactionStatus]]="Success",COUNTIF(tblSettlement[TransactionID],tblTransactions[[#This Row],[TransactionID]])=0)," R5 - Successful Transaction Not Settled", "")</f>
        <v/>
      </c>
      <c r="N373" t="str">
        <f>IF(AND(COUNTIF(tblSettlement[TransactionID],tblTransactions[[#This Row],[TransactionID]])&gt;0,tblTransactions[[#This Row],[Amount]]&lt;&gt;SUMIF(tblSettlement[TransactionID],tblTransactions[[#This Row],[TransactionID]],tblSettlement[SettledAmount]))," R6 - Settlement Amount Mismatch", "")</f>
        <v/>
      </c>
      <c r="O373" t="str">
        <f>IF(AND(tblTransactions[[#This Row],[CustomerRef]] &lt;&gt;"",COUNTIFS(tblTransactions[CustomerRef],tblTransactions[[#This Row],[CustomerRef]],tblTransactions[Amount],tblTransactions[[#This Row],[Amount]],tblTransactions[Date],tblTransactions[[#This Row],[Date]])&gt;1),"Yes","No")</f>
        <v>No</v>
      </c>
    </row>
    <row r="374" spans="1:15" x14ac:dyDescent="0.3">
      <c r="A374" t="s">
        <v>1095</v>
      </c>
      <c r="B374" s="2">
        <v>46204.370833333334</v>
      </c>
      <c r="C374" t="s">
        <v>43</v>
      </c>
      <c r="D374" t="s">
        <v>20</v>
      </c>
      <c r="E374" s="6">
        <v>64753.9</v>
      </c>
      <c r="F374" t="s">
        <v>11</v>
      </c>
      <c r="G374" t="s">
        <v>1096</v>
      </c>
      <c r="H374" t="s">
        <v>1097</v>
      </c>
      <c r="I374" s="116">
        <f>INT(tblTransactions[[#This Row],[TransactionDate]])</f>
        <v>46204</v>
      </c>
      <c r="J374" t="str">
        <f>IF(tblTransactions[[#This Row],[ApprovalID]]="", "R2 - Missing Approval Reference", "")</f>
        <v/>
      </c>
      <c r="K374" t="str">
        <f>IF(AND(tblTransactions[[#This Row],[ApprovalID]]&lt;&gt;"",COUNTIFS(tblApprovals[TransactionID],tblTransactions[[#This Row],[TransactionID]],tblApprovals[ApprovalID],tblTransactions[[#This Row],[ApprovalID]])=0),"R3 - Missing or Mismatched Approval Record", "")</f>
        <v/>
      </c>
      <c r="L37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4" t="str">
        <f>IF(AND(tblTransactions[[#This Row],[TransactionStatus]]="Success",COUNTIF(tblSettlement[TransactionID],tblTransactions[[#This Row],[TransactionID]])=0)," R5 - Successful Transaction Not Settled", "")</f>
        <v/>
      </c>
      <c r="N374" t="str">
        <f>IF(AND(COUNTIF(tblSettlement[TransactionID],tblTransactions[[#This Row],[TransactionID]])&gt;0,tblTransactions[[#This Row],[Amount]]&lt;&gt;SUMIF(tblSettlement[TransactionID],tblTransactions[[#This Row],[TransactionID]],tblSettlement[SettledAmount]))," R6 - Settlement Amount Mismatch", "")</f>
        <v/>
      </c>
      <c r="O374" t="str">
        <f>IF(AND(tblTransactions[[#This Row],[CustomerRef]] &lt;&gt;"",COUNTIFS(tblTransactions[CustomerRef],tblTransactions[[#This Row],[CustomerRef]],tblTransactions[Amount],tblTransactions[[#This Row],[Amount]],tblTransactions[Date],tblTransactions[[#This Row],[Date]])&gt;1),"Yes","No")</f>
        <v>No</v>
      </c>
    </row>
    <row r="375" spans="1:15" x14ac:dyDescent="0.3">
      <c r="A375" t="s">
        <v>1098</v>
      </c>
      <c r="B375" s="2">
        <v>46226.95416666667</v>
      </c>
      <c r="C375" t="s">
        <v>28</v>
      </c>
      <c r="D375" t="s">
        <v>29</v>
      </c>
      <c r="E375" s="6">
        <v>2893.43</v>
      </c>
      <c r="F375" t="s">
        <v>11</v>
      </c>
      <c r="G375" t="s">
        <v>1099</v>
      </c>
      <c r="H375" t="s">
        <v>1100</v>
      </c>
      <c r="I375" s="116">
        <f>INT(tblTransactions[[#This Row],[TransactionDate]])</f>
        <v>46226</v>
      </c>
      <c r="J375" t="str">
        <f>IF(tblTransactions[[#This Row],[ApprovalID]]="", "R2 - Missing Approval Reference", "")</f>
        <v/>
      </c>
      <c r="K375" t="str">
        <f>IF(AND(tblTransactions[[#This Row],[ApprovalID]]&lt;&gt;"",COUNTIFS(tblApprovals[TransactionID],tblTransactions[[#This Row],[TransactionID]],tblApprovals[ApprovalID],tblTransactions[[#This Row],[ApprovalID]])=0),"R3 - Missing or Mismatched Approval Record", "")</f>
        <v/>
      </c>
      <c r="L37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5" t="str">
        <f>IF(AND(tblTransactions[[#This Row],[TransactionStatus]]="Success",COUNTIF(tblSettlement[TransactionID],tblTransactions[[#This Row],[TransactionID]])=0)," R5 - Successful Transaction Not Settled", "")</f>
        <v/>
      </c>
      <c r="N375" t="str">
        <f>IF(AND(COUNTIF(tblSettlement[TransactionID],tblTransactions[[#This Row],[TransactionID]])&gt;0,tblTransactions[[#This Row],[Amount]]&lt;&gt;SUMIF(tblSettlement[TransactionID],tblTransactions[[#This Row],[TransactionID]],tblSettlement[SettledAmount]))," R6 - Settlement Amount Mismatch", "")</f>
        <v/>
      </c>
      <c r="O375" t="str">
        <f>IF(AND(tblTransactions[[#This Row],[CustomerRef]] &lt;&gt;"",COUNTIFS(tblTransactions[CustomerRef],tblTransactions[[#This Row],[CustomerRef]],tblTransactions[Amount],tblTransactions[[#This Row],[Amount]],tblTransactions[Date],tblTransactions[[#This Row],[Date]])&gt;1),"Yes","No")</f>
        <v>No</v>
      </c>
    </row>
    <row r="376" spans="1:15" x14ac:dyDescent="0.3">
      <c r="A376" t="s">
        <v>1101</v>
      </c>
      <c r="B376" s="2">
        <v>46257.948611111111</v>
      </c>
      <c r="C376" t="s">
        <v>19</v>
      </c>
      <c r="D376" t="s">
        <v>20</v>
      </c>
      <c r="E376" s="6">
        <v>24165.15</v>
      </c>
      <c r="F376" t="s">
        <v>11</v>
      </c>
      <c r="G376" t="s">
        <v>1102</v>
      </c>
      <c r="H376" t="s">
        <v>1103</v>
      </c>
      <c r="I376" s="116">
        <f>INT(tblTransactions[[#This Row],[TransactionDate]])</f>
        <v>46257</v>
      </c>
      <c r="J376" t="str">
        <f>IF(tblTransactions[[#This Row],[ApprovalID]]="", "R2 - Missing Approval Reference", "")</f>
        <v/>
      </c>
      <c r="K376" t="str">
        <f>IF(AND(tblTransactions[[#This Row],[ApprovalID]]&lt;&gt;"",COUNTIFS(tblApprovals[TransactionID],tblTransactions[[#This Row],[TransactionID]],tblApprovals[ApprovalID],tblTransactions[[#This Row],[ApprovalID]])=0),"R3 - Missing or Mismatched Approval Record", "")</f>
        <v/>
      </c>
      <c r="L37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76" t="str">
        <f>IF(AND(tblTransactions[[#This Row],[TransactionStatus]]="Success",COUNTIF(tblSettlement[TransactionID],tblTransactions[[#This Row],[TransactionID]])=0)," R5 - Successful Transaction Not Settled", "")</f>
        <v/>
      </c>
      <c r="N376" t="str">
        <f>IF(AND(COUNTIF(tblSettlement[TransactionID],tblTransactions[[#This Row],[TransactionID]])&gt;0,tblTransactions[[#This Row],[Amount]]&lt;&gt;SUMIF(tblSettlement[TransactionID],tblTransactions[[#This Row],[TransactionID]],tblSettlement[SettledAmount]))," R6 - Settlement Amount Mismatch", "")</f>
        <v/>
      </c>
      <c r="O376" t="str">
        <f>IF(AND(tblTransactions[[#This Row],[CustomerRef]] &lt;&gt;"",COUNTIFS(tblTransactions[CustomerRef],tblTransactions[[#This Row],[CustomerRef]],tblTransactions[Amount],tblTransactions[[#This Row],[Amount]],tblTransactions[Date],tblTransactions[[#This Row],[Date]])&gt;1),"Yes","No")</f>
        <v>No</v>
      </c>
    </row>
    <row r="377" spans="1:15" x14ac:dyDescent="0.3">
      <c r="A377" t="s">
        <v>1104</v>
      </c>
      <c r="B377" s="2">
        <v>46226.493750000001</v>
      </c>
      <c r="C377" t="s">
        <v>43</v>
      </c>
      <c r="D377" t="s">
        <v>10</v>
      </c>
      <c r="E377" s="6">
        <v>38804.120000000003</v>
      </c>
      <c r="F377" t="s">
        <v>11</v>
      </c>
      <c r="G377" t="s">
        <v>1105</v>
      </c>
      <c r="H377" t="s">
        <v>1106</v>
      </c>
      <c r="I377" s="116">
        <f>INT(tblTransactions[[#This Row],[TransactionDate]])</f>
        <v>46226</v>
      </c>
      <c r="J377" t="str">
        <f>IF(tblTransactions[[#This Row],[ApprovalID]]="", "R2 - Missing Approval Reference", "")</f>
        <v/>
      </c>
      <c r="K377" t="str">
        <f>IF(AND(tblTransactions[[#This Row],[ApprovalID]]&lt;&gt;"",COUNTIFS(tblApprovals[TransactionID],tblTransactions[[#This Row],[TransactionID]],tblApprovals[ApprovalID],tblTransactions[[#This Row],[ApprovalID]])=0),"R3 - Missing or Mismatched Approval Record", "")</f>
        <v/>
      </c>
      <c r="L37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7" t="str">
        <f>IF(AND(tblTransactions[[#This Row],[TransactionStatus]]="Success",COUNTIF(tblSettlement[TransactionID],tblTransactions[[#This Row],[TransactionID]])=0)," R5 - Successful Transaction Not Settled", "")</f>
        <v/>
      </c>
      <c r="N377" t="str">
        <f>IF(AND(COUNTIF(tblSettlement[TransactionID],tblTransactions[[#This Row],[TransactionID]])&gt;0,tblTransactions[[#This Row],[Amount]]&lt;&gt;SUMIF(tblSettlement[TransactionID],tblTransactions[[#This Row],[TransactionID]],tblSettlement[SettledAmount]))," R6 - Settlement Amount Mismatch", "")</f>
        <v/>
      </c>
      <c r="O377" t="str">
        <f>IF(AND(tblTransactions[[#This Row],[CustomerRef]] &lt;&gt;"",COUNTIFS(tblTransactions[CustomerRef],tblTransactions[[#This Row],[CustomerRef]],tblTransactions[Amount],tblTransactions[[#This Row],[Amount]],tblTransactions[Date],tblTransactions[[#This Row],[Date]])&gt;1),"Yes","No")</f>
        <v>No</v>
      </c>
    </row>
    <row r="378" spans="1:15" x14ac:dyDescent="0.3">
      <c r="A378" t="s">
        <v>1107</v>
      </c>
      <c r="B378" s="2">
        <v>46243.545138888891</v>
      </c>
      <c r="C378" t="s">
        <v>9</v>
      </c>
      <c r="D378" t="s">
        <v>20</v>
      </c>
      <c r="E378" s="6">
        <v>41593.58</v>
      </c>
      <c r="F378" t="s">
        <v>11</v>
      </c>
      <c r="G378" t="s">
        <v>1108</v>
      </c>
      <c r="H378" t="s">
        <v>1109</v>
      </c>
      <c r="I378" s="116">
        <f>INT(tblTransactions[[#This Row],[TransactionDate]])</f>
        <v>46243</v>
      </c>
      <c r="J378" t="str">
        <f>IF(tblTransactions[[#This Row],[ApprovalID]]="", "R2 - Missing Approval Reference", "")</f>
        <v/>
      </c>
      <c r="K378" t="str">
        <f>IF(AND(tblTransactions[[#This Row],[ApprovalID]]&lt;&gt;"",COUNTIFS(tblApprovals[TransactionID],tblTransactions[[#This Row],[TransactionID]],tblApprovals[ApprovalID],tblTransactions[[#This Row],[ApprovalID]])=0),"R3 - Missing or Mismatched Approval Record", "")</f>
        <v/>
      </c>
      <c r="L37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8" t="str">
        <f>IF(AND(tblTransactions[[#This Row],[TransactionStatus]]="Success",COUNTIF(tblSettlement[TransactionID],tblTransactions[[#This Row],[TransactionID]])=0)," R5 - Successful Transaction Not Settled", "")</f>
        <v/>
      </c>
      <c r="N378" t="str">
        <f>IF(AND(COUNTIF(tblSettlement[TransactionID],tblTransactions[[#This Row],[TransactionID]])&gt;0,tblTransactions[[#This Row],[Amount]]&lt;&gt;SUMIF(tblSettlement[TransactionID],tblTransactions[[#This Row],[TransactionID]],tblSettlement[SettledAmount]))," R6 - Settlement Amount Mismatch", "")</f>
        <v/>
      </c>
      <c r="O378" t="str">
        <f>IF(AND(tblTransactions[[#This Row],[CustomerRef]] &lt;&gt;"",COUNTIFS(tblTransactions[CustomerRef],tblTransactions[[#This Row],[CustomerRef]],tblTransactions[Amount],tblTransactions[[#This Row],[Amount]],tblTransactions[Date],tblTransactions[[#This Row],[Date]])&gt;1),"Yes","No")</f>
        <v>No</v>
      </c>
    </row>
    <row r="379" spans="1:15" x14ac:dyDescent="0.3">
      <c r="A379" t="s">
        <v>1110</v>
      </c>
      <c r="B379" s="2">
        <v>46283.478472222225</v>
      </c>
      <c r="C379" t="s">
        <v>9</v>
      </c>
      <c r="D379" t="s">
        <v>15</v>
      </c>
      <c r="E379" s="6">
        <v>27778.45</v>
      </c>
      <c r="F379" t="s">
        <v>36</v>
      </c>
      <c r="G379" t="s">
        <v>1111</v>
      </c>
      <c r="H379" t="s">
        <v>1112</v>
      </c>
      <c r="I379" s="116">
        <f>INT(tblTransactions[[#This Row],[TransactionDate]])</f>
        <v>46283</v>
      </c>
      <c r="J379" t="str">
        <f>IF(tblTransactions[[#This Row],[ApprovalID]]="", "R2 - Missing Approval Reference", "")</f>
        <v/>
      </c>
      <c r="K379" t="str">
        <f>IF(AND(tblTransactions[[#This Row],[ApprovalID]]&lt;&gt;"",COUNTIFS(tblApprovals[TransactionID],tblTransactions[[#This Row],[TransactionID]],tblApprovals[ApprovalID],tblTransactions[[#This Row],[ApprovalID]])=0),"R3 - Missing or Mismatched Approval Record", "")</f>
        <v/>
      </c>
      <c r="L37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79" t="str">
        <f>IF(AND(tblTransactions[[#This Row],[TransactionStatus]]="Success",COUNTIF(tblSettlement[TransactionID],tblTransactions[[#This Row],[TransactionID]])=0)," R5 - Successful Transaction Not Settled", "")</f>
        <v/>
      </c>
      <c r="N379" t="str">
        <f>IF(AND(COUNTIF(tblSettlement[TransactionID],tblTransactions[[#This Row],[TransactionID]])&gt;0,tblTransactions[[#This Row],[Amount]]&lt;&gt;SUMIF(tblSettlement[TransactionID],tblTransactions[[#This Row],[TransactionID]],tblSettlement[SettledAmount]))," R6 - Settlement Amount Mismatch", "")</f>
        <v/>
      </c>
      <c r="O379" t="str">
        <f>IF(AND(tblTransactions[[#This Row],[CustomerRef]] &lt;&gt;"",COUNTIFS(tblTransactions[CustomerRef],tblTransactions[[#This Row],[CustomerRef]],tblTransactions[Amount],tblTransactions[[#This Row],[Amount]],tblTransactions[Date],tblTransactions[[#This Row],[Date]])&gt;1),"Yes","No")</f>
        <v>No</v>
      </c>
    </row>
    <row r="380" spans="1:15" x14ac:dyDescent="0.3">
      <c r="A380" t="s">
        <v>1113</v>
      </c>
      <c r="B380" s="2">
        <v>46223.374305555553</v>
      </c>
      <c r="C380" t="s">
        <v>24</v>
      </c>
      <c r="D380" t="s">
        <v>10</v>
      </c>
      <c r="E380" s="6">
        <v>30900.2</v>
      </c>
      <c r="F380" t="s">
        <v>11</v>
      </c>
      <c r="G380" t="s">
        <v>1114</v>
      </c>
      <c r="H380" t="s">
        <v>1115</v>
      </c>
      <c r="I380" s="116">
        <f>INT(tblTransactions[[#This Row],[TransactionDate]])</f>
        <v>46223</v>
      </c>
      <c r="J380" t="str">
        <f>IF(tblTransactions[[#This Row],[ApprovalID]]="", "R2 - Missing Approval Reference", "")</f>
        <v/>
      </c>
      <c r="K380" t="str">
        <f>IF(AND(tblTransactions[[#This Row],[ApprovalID]]&lt;&gt;"",COUNTIFS(tblApprovals[TransactionID],tblTransactions[[#This Row],[TransactionID]],tblApprovals[ApprovalID],tblTransactions[[#This Row],[ApprovalID]])=0),"R3 - Missing or Mismatched Approval Record", "")</f>
        <v/>
      </c>
      <c r="L38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0" t="str">
        <f>IF(AND(tblTransactions[[#This Row],[TransactionStatus]]="Success",COUNTIF(tblSettlement[TransactionID],tblTransactions[[#This Row],[TransactionID]])=0)," R5 - Successful Transaction Not Settled", "")</f>
        <v/>
      </c>
      <c r="N380" t="str">
        <f>IF(AND(COUNTIF(tblSettlement[TransactionID],tblTransactions[[#This Row],[TransactionID]])&gt;0,tblTransactions[[#This Row],[Amount]]&lt;&gt;SUMIF(tblSettlement[TransactionID],tblTransactions[[#This Row],[TransactionID]],tblSettlement[SettledAmount]))," R6 - Settlement Amount Mismatch", "")</f>
        <v/>
      </c>
      <c r="O380" t="str">
        <f>IF(AND(tblTransactions[[#This Row],[CustomerRef]] &lt;&gt;"",COUNTIFS(tblTransactions[CustomerRef],tblTransactions[[#This Row],[CustomerRef]],tblTransactions[Amount],tblTransactions[[#This Row],[Amount]],tblTransactions[Date],tblTransactions[[#This Row],[Date]])&gt;1),"Yes","No")</f>
        <v>No</v>
      </c>
    </row>
    <row r="381" spans="1:15" x14ac:dyDescent="0.3">
      <c r="A381" t="s">
        <v>1116</v>
      </c>
      <c r="B381" s="2">
        <v>46288.620833333334</v>
      </c>
      <c r="C381" t="s">
        <v>9</v>
      </c>
      <c r="D381" t="s">
        <v>15</v>
      </c>
      <c r="E381" s="6">
        <v>55421.68</v>
      </c>
      <c r="F381" t="s">
        <v>11</v>
      </c>
      <c r="G381" t="s">
        <v>1117</v>
      </c>
      <c r="H381" t="s">
        <v>1118</v>
      </c>
      <c r="I381" s="116">
        <f>INT(tblTransactions[[#This Row],[TransactionDate]])</f>
        <v>46288</v>
      </c>
      <c r="J381" t="str">
        <f>IF(tblTransactions[[#This Row],[ApprovalID]]="", "R2 - Missing Approval Reference", "")</f>
        <v/>
      </c>
      <c r="K381" t="str">
        <f>IF(AND(tblTransactions[[#This Row],[ApprovalID]]&lt;&gt;"",COUNTIFS(tblApprovals[TransactionID],tblTransactions[[#This Row],[TransactionID]],tblApprovals[ApprovalID],tblTransactions[[#This Row],[ApprovalID]])=0),"R3 - Missing or Mismatched Approval Record", "")</f>
        <v/>
      </c>
      <c r="L38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1" t="str">
        <f>IF(AND(tblTransactions[[#This Row],[TransactionStatus]]="Success",COUNTIF(tblSettlement[TransactionID],tblTransactions[[#This Row],[TransactionID]])=0)," R5 - Successful Transaction Not Settled", "")</f>
        <v/>
      </c>
      <c r="N381" t="str">
        <f>IF(AND(COUNTIF(tblSettlement[TransactionID],tblTransactions[[#This Row],[TransactionID]])&gt;0,tblTransactions[[#This Row],[Amount]]&lt;&gt;SUMIF(tblSettlement[TransactionID],tblTransactions[[#This Row],[TransactionID]],tblSettlement[SettledAmount]))," R6 - Settlement Amount Mismatch", "")</f>
        <v/>
      </c>
      <c r="O381" t="str">
        <f>IF(AND(tblTransactions[[#This Row],[CustomerRef]] &lt;&gt;"",COUNTIFS(tblTransactions[CustomerRef],tblTransactions[[#This Row],[CustomerRef]],tblTransactions[Amount],tblTransactions[[#This Row],[Amount]],tblTransactions[Date],tblTransactions[[#This Row],[Date]])&gt;1),"Yes","No")</f>
        <v>No</v>
      </c>
    </row>
    <row r="382" spans="1:15" x14ac:dyDescent="0.3">
      <c r="A382" t="s">
        <v>1119</v>
      </c>
      <c r="B382" s="2">
        <v>46266.339583333334</v>
      </c>
      <c r="C382" t="s">
        <v>9</v>
      </c>
      <c r="D382" t="s">
        <v>15</v>
      </c>
      <c r="E382" s="6">
        <v>53446.02</v>
      </c>
      <c r="F382" t="s">
        <v>11</v>
      </c>
      <c r="G382" t="s">
        <v>1120</v>
      </c>
      <c r="H382" t="s">
        <v>1121</v>
      </c>
      <c r="I382" s="116">
        <f>INT(tblTransactions[[#This Row],[TransactionDate]])</f>
        <v>46266</v>
      </c>
      <c r="J382" t="str">
        <f>IF(tblTransactions[[#This Row],[ApprovalID]]="", "R2 - Missing Approval Reference", "")</f>
        <v/>
      </c>
      <c r="K382" t="str">
        <f>IF(AND(tblTransactions[[#This Row],[ApprovalID]]&lt;&gt;"",COUNTIFS(tblApprovals[TransactionID],tblTransactions[[#This Row],[TransactionID]],tblApprovals[ApprovalID],tblTransactions[[#This Row],[ApprovalID]])=0),"R3 - Missing or Mismatched Approval Record", "")</f>
        <v/>
      </c>
      <c r="L38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2" t="str">
        <f>IF(AND(tblTransactions[[#This Row],[TransactionStatus]]="Success",COUNTIF(tblSettlement[TransactionID],tblTransactions[[#This Row],[TransactionID]])=0)," R5 - Successful Transaction Not Settled", "")</f>
        <v/>
      </c>
      <c r="N382" t="str">
        <f>IF(AND(COUNTIF(tblSettlement[TransactionID],tblTransactions[[#This Row],[TransactionID]])&gt;0,tblTransactions[[#This Row],[Amount]]&lt;&gt;SUMIF(tblSettlement[TransactionID],tblTransactions[[#This Row],[TransactionID]],tblSettlement[SettledAmount]))," R6 - Settlement Amount Mismatch", "")</f>
        <v/>
      </c>
      <c r="O382" t="str">
        <f>IF(AND(tblTransactions[[#This Row],[CustomerRef]] &lt;&gt;"",COUNTIFS(tblTransactions[CustomerRef],tblTransactions[[#This Row],[CustomerRef]],tblTransactions[Amount],tblTransactions[[#This Row],[Amount]],tblTransactions[Date],tblTransactions[[#This Row],[Date]])&gt;1),"Yes","No")</f>
        <v>No</v>
      </c>
    </row>
    <row r="383" spans="1:15" x14ac:dyDescent="0.3">
      <c r="A383" t="s">
        <v>1122</v>
      </c>
      <c r="B383" s="2">
        <v>46262.795138888891</v>
      </c>
      <c r="C383" t="s">
        <v>28</v>
      </c>
      <c r="D383" t="s">
        <v>29</v>
      </c>
      <c r="E383" s="6">
        <v>43662.6</v>
      </c>
      <c r="F383" t="s">
        <v>11</v>
      </c>
      <c r="H383" t="s">
        <v>1123</v>
      </c>
      <c r="I383" s="116">
        <f>INT(tblTransactions[[#This Row],[TransactionDate]])</f>
        <v>46262</v>
      </c>
      <c r="J383" t="str">
        <f>IF(tblTransactions[[#This Row],[ApprovalID]]="", "R2 - Missing Approval Reference", "")</f>
        <v>R2 - Missing Approval Reference</v>
      </c>
      <c r="K383" t="str">
        <f>IF(AND(tblTransactions[[#This Row],[ApprovalID]]&lt;&gt;"",COUNTIFS(tblApprovals[TransactionID],tblTransactions[[#This Row],[TransactionID]],tblApprovals[ApprovalID],tblTransactions[[#This Row],[ApprovalID]])=0),"R3 - Missing or Mismatched Approval Record", "")</f>
        <v/>
      </c>
      <c r="L38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3" t="str">
        <f>IF(AND(tblTransactions[[#This Row],[TransactionStatus]]="Success",COUNTIF(tblSettlement[TransactionID],tblTransactions[[#This Row],[TransactionID]])=0)," R5 - Successful Transaction Not Settled", "")</f>
        <v/>
      </c>
      <c r="N383" t="str">
        <f>IF(AND(COUNTIF(tblSettlement[TransactionID],tblTransactions[[#This Row],[TransactionID]])&gt;0,tblTransactions[[#This Row],[Amount]]&lt;&gt;SUMIF(tblSettlement[TransactionID],tblTransactions[[#This Row],[TransactionID]],tblSettlement[SettledAmount]))," R6 - Settlement Amount Mismatch", "")</f>
        <v/>
      </c>
      <c r="O383" t="str">
        <f>IF(AND(tblTransactions[[#This Row],[CustomerRef]] &lt;&gt;"",COUNTIFS(tblTransactions[CustomerRef],tblTransactions[[#This Row],[CustomerRef]],tblTransactions[Amount],tblTransactions[[#This Row],[Amount]],tblTransactions[Date],tblTransactions[[#This Row],[Date]])&gt;1),"Yes","No")</f>
        <v>No</v>
      </c>
    </row>
    <row r="384" spans="1:15" x14ac:dyDescent="0.3">
      <c r="A384" t="s">
        <v>1124</v>
      </c>
      <c r="B384" s="2">
        <v>46259.755555555559</v>
      </c>
      <c r="C384" t="s">
        <v>24</v>
      </c>
      <c r="D384" t="s">
        <v>29</v>
      </c>
      <c r="E384" s="6">
        <v>17948.689999999999</v>
      </c>
      <c r="F384" t="s">
        <v>11</v>
      </c>
      <c r="G384" t="s">
        <v>1125</v>
      </c>
      <c r="H384" t="s">
        <v>1126</v>
      </c>
      <c r="I384" s="116">
        <f>INT(tblTransactions[[#This Row],[TransactionDate]])</f>
        <v>46259</v>
      </c>
      <c r="J384" t="str">
        <f>IF(tblTransactions[[#This Row],[ApprovalID]]="", "R2 - Missing Approval Reference", "")</f>
        <v/>
      </c>
      <c r="K384" t="str">
        <f>IF(AND(tblTransactions[[#This Row],[ApprovalID]]&lt;&gt;"",COUNTIFS(tblApprovals[TransactionID],tblTransactions[[#This Row],[TransactionID]],tblApprovals[ApprovalID],tblTransactions[[#This Row],[ApprovalID]])=0),"R3 - Missing or Mismatched Approval Record", "")</f>
        <v/>
      </c>
      <c r="L38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4" t="str">
        <f>IF(AND(tblTransactions[[#This Row],[TransactionStatus]]="Success",COUNTIF(tblSettlement[TransactionID],tblTransactions[[#This Row],[TransactionID]])=0)," R5 - Successful Transaction Not Settled", "")</f>
        <v/>
      </c>
      <c r="N384" t="str">
        <f>IF(AND(COUNTIF(tblSettlement[TransactionID],tblTransactions[[#This Row],[TransactionID]])&gt;0,tblTransactions[[#This Row],[Amount]]&lt;&gt;SUMIF(tblSettlement[TransactionID],tblTransactions[[#This Row],[TransactionID]],tblSettlement[SettledAmount]))," R6 - Settlement Amount Mismatch", "")</f>
        <v/>
      </c>
      <c r="O384" t="str">
        <f>IF(AND(tblTransactions[[#This Row],[CustomerRef]] &lt;&gt;"",COUNTIFS(tblTransactions[CustomerRef],tblTransactions[[#This Row],[CustomerRef]],tblTransactions[Amount],tblTransactions[[#This Row],[Amount]],tblTransactions[Date],tblTransactions[[#This Row],[Date]])&gt;1),"Yes","No")</f>
        <v>No</v>
      </c>
    </row>
    <row r="385" spans="1:15" x14ac:dyDescent="0.3">
      <c r="A385" t="s">
        <v>1127</v>
      </c>
      <c r="B385" s="2">
        <v>46244.636805555558</v>
      </c>
      <c r="C385" t="s">
        <v>9</v>
      </c>
      <c r="D385" t="s">
        <v>15</v>
      </c>
      <c r="E385" s="6">
        <v>17712.439999999999</v>
      </c>
      <c r="F385" t="s">
        <v>111</v>
      </c>
      <c r="G385" t="s">
        <v>1128</v>
      </c>
      <c r="H385" t="s">
        <v>1129</v>
      </c>
      <c r="I385" s="116">
        <f>INT(tblTransactions[[#This Row],[TransactionDate]])</f>
        <v>46244</v>
      </c>
      <c r="J385" t="str">
        <f>IF(tblTransactions[[#This Row],[ApprovalID]]="", "R2 - Missing Approval Reference", "")</f>
        <v/>
      </c>
      <c r="K385" t="str">
        <f>IF(AND(tblTransactions[[#This Row],[ApprovalID]]&lt;&gt;"",COUNTIFS(tblApprovals[TransactionID],tblTransactions[[#This Row],[TransactionID]],tblApprovals[ApprovalID],tblTransactions[[#This Row],[ApprovalID]])=0),"R3 - Missing or Mismatched Approval Record", "")</f>
        <v/>
      </c>
      <c r="L38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5" t="str">
        <f>IF(AND(tblTransactions[[#This Row],[TransactionStatus]]="Success",COUNTIF(tblSettlement[TransactionID],tblTransactions[[#This Row],[TransactionID]])=0)," R5 - Successful Transaction Not Settled", "")</f>
        <v/>
      </c>
      <c r="N385" t="str">
        <f>IF(AND(COUNTIF(tblSettlement[TransactionID],tblTransactions[[#This Row],[TransactionID]])&gt;0,tblTransactions[[#This Row],[Amount]]&lt;&gt;SUMIF(tblSettlement[TransactionID],tblTransactions[[#This Row],[TransactionID]],tblSettlement[SettledAmount]))," R6 - Settlement Amount Mismatch", "")</f>
        <v/>
      </c>
      <c r="O385" t="str">
        <f>IF(AND(tblTransactions[[#This Row],[CustomerRef]] &lt;&gt;"",COUNTIFS(tblTransactions[CustomerRef],tblTransactions[[#This Row],[CustomerRef]],tblTransactions[Amount],tblTransactions[[#This Row],[Amount]],tblTransactions[Date],tblTransactions[[#This Row],[Date]])&gt;1),"Yes","No")</f>
        <v>No</v>
      </c>
    </row>
    <row r="386" spans="1:15" x14ac:dyDescent="0.3">
      <c r="A386" t="s">
        <v>1130</v>
      </c>
      <c r="B386" s="2">
        <v>46225.645138888889</v>
      </c>
      <c r="C386" t="s">
        <v>24</v>
      </c>
      <c r="D386" t="s">
        <v>69</v>
      </c>
      <c r="E386" s="6">
        <v>23723.99</v>
      </c>
      <c r="F386" t="s">
        <v>11</v>
      </c>
      <c r="G386" t="s">
        <v>1131</v>
      </c>
      <c r="H386" t="s">
        <v>1132</v>
      </c>
      <c r="I386" s="116">
        <f>INT(tblTransactions[[#This Row],[TransactionDate]])</f>
        <v>46225</v>
      </c>
      <c r="J386" t="str">
        <f>IF(tblTransactions[[#This Row],[ApprovalID]]="", "R2 - Missing Approval Reference", "")</f>
        <v/>
      </c>
      <c r="K386" t="str">
        <f>IF(AND(tblTransactions[[#This Row],[ApprovalID]]&lt;&gt;"",COUNTIFS(tblApprovals[TransactionID],tblTransactions[[#This Row],[TransactionID]],tblApprovals[ApprovalID],tblTransactions[[#This Row],[ApprovalID]])=0),"R3 - Missing or Mismatched Approval Record", "")</f>
        <v/>
      </c>
      <c r="L38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6" t="str">
        <f>IF(AND(tblTransactions[[#This Row],[TransactionStatus]]="Success",COUNTIF(tblSettlement[TransactionID],tblTransactions[[#This Row],[TransactionID]])=0)," R5 - Successful Transaction Not Settled", "")</f>
        <v/>
      </c>
      <c r="N386" t="str">
        <f>IF(AND(COUNTIF(tblSettlement[TransactionID],tblTransactions[[#This Row],[TransactionID]])&gt;0,tblTransactions[[#This Row],[Amount]]&lt;&gt;SUMIF(tblSettlement[TransactionID],tblTransactions[[#This Row],[TransactionID]],tblSettlement[SettledAmount]))," R6 - Settlement Amount Mismatch", "")</f>
        <v/>
      </c>
      <c r="O386" t="str">
        <f>IF(AND(tblTransactions[[#This Row],[CustomerRef]] &lt;&gt;"",COUNTIFS(tblTransactions[CustomerRef],tblTransactions[[#This Row],[CustomerRef]],tblTransactions[Amount],tblTransactions[[#This Row],[Amount]],tblTransactions[Date],tblTransactions[[#This Row],[Date]])&gt;1),"Yes","No")</f>
        <v>No</v>
      </c>
    </row>
    <row r="387" spans="1:15" x14ac:dyDescent="0.3">
      <c r="A387" t="s">
        <v>1133</v>
      </c>
      <c r="B387" s="2">
        <v>46237.879861111112</v>
      </c>
      <c r="C387" t="s">
        <v>24</v>
      </c>
      <c r="D387" t="s">
        <v>15</v>
      </c>
      <c r="E387" s="6">
        <v>7008.96</v>
      </c>
      <c r="F387" t="s">
        <v>11</v>
      </c>
      <c r="H387" t="s">
        <v>1134</v>
      </c>
      <c r="I387" s="116">
        <f>INT(tblTransactions[[#This Row],[TransactionDate]])</f>
        <v>46237</v>
      </c>
      <c r="J387" t="str">
        <f>IF(tblTransactions[[#This Row],[ApprovalID]]="", "R2 - Missing Approval Reference", "")</f>
        <v>R2 - Missing Approval Reference</v>
      </c>
      <c r="K387" t="str">
        <f>IF(AND(tblTransactions[[#This Row],[ApprovalID]]&lt;&gt;"",COUNTIFS(tblApprovals[TransactionID],tblTransactions[[#This Row],[TransactionID]],tblApprovals[ApprovalID],tblTransactions[[#This Row],[ApprovalID]])=0),"R3 - Missing or Mismatched Approval Record", "")</f>
        <v/>
      </c>
      <c r="L38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7" t="str">
        <f>IF(AND(tblTransactions[[#This Row],[TransactionStatus]]="Success",COUNTIF(tblSettlement[TransactionID],tblTransactions[[#This Row],[TransactionID]])=0)," R5 - Successful Transaction Not Settled", "")</f>
        <v/>
      </c>
      <c r="N387" t="str">
        <f>IF(AND(COUNTIF(tblSettlement[TransactionID],tblTransactions[[#This Row],[TransactionID]])&gt;0,tblTransactions[[#This Row],[Amount]]&lt;&gt;SUMIF(tblSettlement[TransactionID],tblTransactions[[#This Row],[TransactionID]],tblSettlement[SettledAmount]))," R6 - Settlement Amount Mismatch", "")</f>
        <v/>
      </c>
      <c r="O387" t="str">
        <f>IF(AND(tblTransactions[[#This Row],[CustomerRef]] &lt;&gt;"",COUNTIFS(tblTransactions[CustomerRef],tblTransactions[[#This Row],[CustomerRef]],tblTransactions[Amount],tblTransactions[[#This Row],[Amount]],tblTransactions[Date],tblTransactions[[#This Row],[Date]])&gt;1),"Yes","No")</f>
        <v>No</v>
      </c>
    </row>
    <row r="388" spans="1:15" x14ac:dyDescent="0.3">
      <c r="A388" t="s">
        <v>1135</v>
      </c>
      <c r="B388" s="2">
        <v>46222.40625</v>
      </c>
      <c r="C388" t="s">
        <v>19</v>
      </c>
      <c r="D388" t="s">
        <v>10</v>
      </c>
      <c r="E388" s="6">
        <v>18804.349999999999</v>
      </c>
      <c r="F388" t="s">
        <v>11</v>
      </c>
      <c r="G388" t="s">
        <v>1136</v>
      </c>
      <c r="H388" t="s">
        <v>1137</v>
      </c>
      <c r="I388" s="116">
        <f>INT(tblTransactions[[#This Row],[TransactionDate]])</f>
        <v>46222</v>
      </c>
      <c r="J388" t="str">
        <f>IF(tblTransactions[[#This Row],[ApprovalID]]="", "R2 - Missing Approval Reference", "")</f>
        <v/>
      </c>
      <c r="K388" t="str">
        <f>IF(AND(tblTransactions[[#This Row],[ApprovalID]]&lt;&gt;"",COUNTIFS(tblApprovals[TransactionID],tblTransactions[[#This Row],[TransactionID]],tblApprovals[ApprovalID],tblTransactions[[#This Row],[ApprovalID]])=0),"R3 - Missing or Mismatched Approval Record", "")</f>
        <v/>
      </c>
      <c r="L38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8" t="str">
        <f>IF(AND(tblTransactions[[#This Row],[TransactionStatus]]="Success",COUNTIF(tblSettlement[TransactionID],tblTransactions[[#This Row],[TransactionID]])=0)," R5 - Successful Transaction Not Settled", "")</f>
        <v/>
      </c>
      <c r="N388" t="str">
        <f>IF(AND(COUNTIF(tblSettlement[TransactionID],tblTransactions[[#This Row],[TransactionID]])&gt;0,tblTransactions[[#This Row],[Amount]]&lt;&gt;SUMIF(tblSettlement[TransactionID],tblTransactions[[#This Row],[TransactionID]],tblSettlement[SettledAmount]))," R6 - Settlement Amount Mismatch", "")</f>
        <v/>
      </c>
      <c r="O388" t="str">
        <f>IF(AND(tblTransactions[[#This Row],[CustomerRef]] &lt;&gt;"",COUNTIFS(tblTransactions[CustomerRef],tblTransactions[[#This Row],[CustomerRef]],tblTransactions[Amount],tblTransactions[[#This Row],[Amount]],tblTransactions[Date],tblTransactions[[#This Row],[Date]])&gt;1),"Yes","No")</f>
        <v>No</v>
      </c>
    </row>
    <row r="389" spans="1:15" x14ac:dyDescent="0.3">
      <c r="A389" t="s">
        <v>1138</v>
      </c>
      <c r="B389" s="2">
        <v>46226.350694444445</v>
      </c>
      <c r="C389" t="s">
        <v>19</v>
      </c>
      <c r="D389" t="s">
        <v>69</v>
      </c>
      <c r="E389" s="6">
        <v>64131.45</v>
      </c>
      <c r="F389" t="s">
        <v>11</v>
      </c>
      <c r="G389" t="s">
        <v>1139</v>
      </c>
      <c r="H389" t="s">
        <v>1140</v>
      </c>
      <c r="I389" s="116">
        <f>INT(tblTransactions[[#This Row],[TransactionDate]])</f>
        <v>46226</v>
      </c>
      <c r="J389" t="str">
        <f>IF(tblTransactions[[#This Row],[ApprovalID]]="", "R2 - Missing Approval Reference", "")</f>
        <v/>
      </c>
      <c r="K389" t="str">
        <f>IF(AND(tblTransactions[[#This Row],[ApprovalID]]&lt;&gt;"",COUNTIFS(tblApprovals[TransactionID],tblTransactions[[#This Row],[TransactionID]],tblApprovals[ApprovalID],tblTransactions[[#This Row],[ApprovalID]])=0),"R3 - Missing or Mismatched Approval Record", "")</f>
        <v/>
      </c>
      <c r="L38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89" t="str">
        <f>IF(AND(tblTransactions[[#This Row],[TransactionStatus]]="Success",COUNTIF(tblSettlement[TransactionID],tblTransactions[[#This Row],[TransactionID]])=0)," R5 - Successful Transaction Not Settled", "")</f>
        <v/>
      </c>
      <c r="N389" t="str">
        <f>IF(AND(COUNTIF(tblSettlement[TransactionID],tblTransactions[[#This Row],[TransactionID]])&gt;0,tblTransactions[[#This Row],[Amount]]&lt;&gt;SUMIF(tblSettlement[TransactionID],tblTransactions[[#This Row],[TransactionID]],tblSettlement[SettledAmount]))," R6 - Settlement Amount Mismatch", "")</f>
        <v/>
      </c>
      <c r="O389" t="str">
        <f>IF(AND(tblTransactions[[#This Row],[CustomerRef]] &lt;&gt;"",COUNTIFS(tblTransactions[CustomerRef],tblTransactions[[#This Row],[CustomerRef]],tblTransactions[Amount],tblTransactions[[#This Row],[Amount]],tblTransactions[Date],tblTransactions[[#This Row],[Date]])&gt;1),"Yes","No")</f>
        <v>No</v>
      </c>
    </row>
    <row r="390" spans="1:15" x14ac:dyDescent="0.3">
      <c r="A390" t="s">
        <v>1141</v>
      </c>
      <c r="B390" s="2">
        <v>46221.375</v>
      </c>
      <c r="C390" t="s">
        <v>9</v>
      </c>
      <c r="D390" t="s">
        <v>69</v>
      </c>
      <c r="E390" s="6">
        <v>4859.7700000000004</v>
      </c>
      <c r="F390" t="s">
        <v>11</v>
      </c>
      <c r="G390" t="s">
        <v>1142</v>
      </c>
      <c r="H390" t="s">
        <v>1143</v>
      </c>
      <c r="I390" s="116">
        <f>INT(tblTransactions[[#This Row],[TransactionDate]])</f>
        <v>46221</v>
      </c>
      <c r="J390" t="str">
        <f>IF(tblTransactions[[#This Row],[ApprovalID]]="", "R2 - Missing Approval Reference", "")</f>
        <v/>
      </c>
      <c r="K390" t="str">
        <f>IF(AND(tblTransactions[[#This Row],[ApprovalID]]&lt;&gt;"",COUNTIFS(tblApprovals[TransactionID],tblTransactions[[#This Row],[TransactionID]],tblApprovals[ApprovalID],tblTransactions[[#This Row],[ApprovalID]])=0),"R3 - Missing or Mismatched Approval Record", "")</f>
        <v/>
      </c>
      <c r="L39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0" t="str">
        <f>IF(AND(tblTransactions[[#This Row],[TransactionStatus]]="Success",COUNTIF(tblSettlement[TransactionID],tblTransactions[[#This Row],[TransactionID]])=0)," R5 - Successful Transaction Not Settled", "")</f>
        <v/>
      </c>
      <c r="N390" t="str">
        <f>IF(AND(COUNTIF(tblSettlement[TransactionID],tblTransactions[[#This Row],[TransactionID]])&gt;0,tblTransactions[[#This Row],[Amount]]&lt;&gt;SUMIF(tblSettlement[TransactionID],tblTransactions[[#This Row],[TransactionID]],tblSettlement[SettledAmount]))," R6 - Settlement Amount Mismatch", "")</f>
        <v/>
      </c>
      <c r="O390" t="str">
        <f>IF(AND(tblTransactions[[#This Row],[CustomerRef]] &lt;&gt;"",COUNTIFS(tblTransactions[CustomerRef],tblTransactions[[#This Row],[CustomerRef]],tblTransactions[Amount],tblTransactions[[#This Row],[Amount]],tblTransactions[Date],tblTransactions[[#This Row],[Date]])&gt;1),"Yes","No")</f>
        <v>No</v>
      </c>
    </row>
    <row r="391" spans="1:15" x14ac:dyDescent="0.3">
      <c r="A391" t="s">
        <v>1144</v>
      </c>
      <c r="B391" s="2">
        <v>46251.777777777781</v>
      </c>
      <c r="C391" t="s">
        <v>19</v>
      </c>
      <c r="D391" t="s">
        <v>20</v>
      </c>
      <c r="E391" s="6">
        <v>70333.72</v>
      </c>
      <c r="F391" t="s">
        <v>11</v>
      </c>
      <c r="G391" t="s">
        <v>1145</v>
      </c>
      <c r="H391" t="s">
        <v>1146</v>
      </c>
      <c r="I391" s="116">
        <f>INT(tblTransactions[[#This Row],[TransactionDate]])</f>
        <v>46251</v>
      </c>
      <c r="J391" t="str">
        <f>IF(tblTransactions[[#This Row],[ApprovalID]]="", "R2 - Missing Approval Reference", "")</f>
        <v/>
      </c>
      <c r="K391" t="str">
        <f>IF(AND(tblTransactions[[#This Row],[ApprovalID]]&lt;&gt;"",COUNTIFS(tblApprovals[TransactionID],tblTransactions[[#This Row],[TransactionID]],tblApprovals[ApprovalID],tblTransactions[[#This Row],[ApprovalID]])=0),"R3 - Missing or Mismatched Approval Record", "")</f>
        <v/>
      </c>
      <c r="L39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91" t="str">
        <f>IF(AND(tblTransactions[[#This Row],[TransactionStatus]]="Success",COUNTIF(tblSettlement[TransactionID],tblTransactions[[#This Row],[TransactionID]])=0)," R5 - Successful Transaction Not Settled", "")</f>
        <v/>
      </c>
      <c r="N391" t="str">
        <f>IF(AND(COUNTIF(tblSettlement[TransactionID],tblTransactions[[#This Row],[TransactionID]])&gt;0,tblTransactions[[#This Row],[Amount]]&lt;&gt;SUMIF(tblSettlement[TransactionID],tblTransactions[[#This Row],[TransactionID]],tblSettlement[SettledAmount]))," R6 - Settlement Amount Mismatch", "")</f>
        <v/>
      </c>
      <c r="O391" t="str">
        <f>IF(AND(tblTransactions[[#This Row],[CustomerRef]] &lt;&gt;"",COUNTIFS(tblTransactions[CustomerRef],tblTransactions[[#This Row],[CustomerRef]],tblTransactions[Amount],tblTransactions[[#This Row],[Amount]],tblTransactions[Date],tblTransactions[[#This Row],[Date]])&gt;1),"Yes","No")</f>
        <v>No</v>
      </c>
    </row>
    <row r="392" spans="1:15" x14ac:dyDescent="0.3">
      <c r="A392" t="s">
        <v>1147</v>
      </c>
      <c r="B392" s="2">
        <v>46206.383333333331</v>
      </c>
      <c r="C392" t="s">
        <v>9</v>
      </c>
      <c r="D392" t="s">
        <v>10</v>
      </c>
      <c r="E392" s="6">
        <v>67711.58</v>
      </c>
      <c r="F392" t="s">
        <v>11</v>
      </c>
      <c r="G392" t="s">
        <v>1148</v>
      </c>
      <c r="H392" t="s">
        <v>949</v>
      </c>
      <c r="I392" s="116">
        <f>INT(tblTransactions[[#This Row],[TransactionDate]])</f>
        <v>46206</v>
      </c>
      <c r="J392" t="str">
        <f>IF(tblTransactions[[#This Row],[ApprovalID]]="", "R2 - Missing Approval Reference", "")</f>
        <v/>
      </c>
      <c r="K392" t="str">
        <f>IF(AND(tblTransactions[[#This Row],[ApprovalID]]&lt;&gt;"",COUNTIFS(tblApprovals[TransactionID],tblTransactions[[#This Row],[TransactionID]],tblApprovals[ApprovalID],tblTransactions[[#This Row],[ApprovalID]])=0),"R3 - Missing or Mismatched Approval Record", "")</f>
        <v/>
      </c>
      <c r="L39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2" t="str">
        <f>IF(AND(tblTransactions[[#This Row],[TransactionStatus]]="Success",COUNTIF(tblSettlement[TransactionID],tblTransactions[[#This Row],[TransactionID]])=0)," R5 - Successful Transaction Not Settled", "")</f>
        <v/>
      </c>
      <c r="N392" t="str">
        <f>IF(AND(COUNTIF(tblSettlement[TransactionID],tblTransactions[[#This Row],[TransactionID]])&gt;0,tblTransactions[[#This Row],[Amount]]&lt;&gt;SUMIF(tblSettlement[TransactionID],tblTransactions[[#This Row],[TransactionID]],tblSettlement[SettledAmount]))," R6 - Settlement Amount Mismatch", "")</f>
        <v/>
      </c>
      <c r="O392" t="str">
        <f>IF(AND(tblTransactions[[#This Row],[CustomerRef]] &lt;&gt;"",COUNTIFS(tblTransactions[CustomerRef],tblTransactions[[#This Row],[CustomerRef]],tblTransactions[Amount],tblTransactions[[#This Row],[Amount]],tblTransactions[Date],tblTransactions[[#This Row],[Date]])&gt;1),"Yes","No")</f>
        <v>No</v>
      </c>
    </row>
    <row r="393" spans="1:15" x14ac:dyDescent="0.3">
      <c r="A393" t="s">
        <v>1149</v>
      </c>
      <c r="B393" s="2">
        <v>46219.353472222225</v>
      </c>
      <c r="C393" t="s">
        <v>43</v>
      </c>
      <c r="D393" t="s">
        <v>29</v>
      </c>
      <c r="E393" s="6">
        <v>4035.17</v>
      </c>
      <c r="F393" t="s">
        <v>111</v>
      </c>
      <c r="G393" t="s">
        <v>1150</v>
      </c>
      <c r="H393" t="s">
        <v>1151</v>
      </c>
      <c r="I393" s="116">
        <f>INT(tblTransactions[[#This Row],[TransactionDate]])</f>
        <v>46219</v>
      </c>
      <c r="J393" t="str">
        <f>IF(tblTransactions[[#This Row],[ApprovalID]]="", "R2 - Missing Approval Reference", "")</f>
        <v/>
      </c>
      <c r="K393" t="str">
        <f>IF(AND(tblTransactions[[#This Row],[ApprovalID]]&lt;&gt;"",COUNTIFS(tblApprovals[TransactionID],tblTransactions[[#This Row],[TransactionID]],tblApprovals[ApprovalID],tblTransactions[[#This Row],[ApprovalID]])=0),"R3 - Missing or Mismatched Approval Record", "")</f>
        <v/>
      </c>
      <c r="L39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3" t="str">
        <f>IF(AND(tblTransactions[[#This Row],[TransactionStatus]]="Success",COUNTIF(tblSettlement[TransactionID],tblTransactions[[#This Row],[TransactionID]])=0)," R5 - Successful Transaction Not Settled", "")</f>
        <v/>
      </c>
      <c r="N393" t="str">
        <f>IF(AND(COUNTIF(tblSettlement[TransactionID],tblTransactions[[#This Row],[TransactionID]])&gt;0,tblTransactions[[#This Row],[Amount]]&lt;&gt;SUMIF(tblSettlement[TransactionID],tblTransactions[[#This Row],[TransactionID]],tblSettlement[SettledAmount]))," R6 - Settlement Amount Mismatch", "")</f>
        <v/>
      </c>
      <c r="O393" t="str">
        <f>IF(AND(tblTransactions[[#This Row],[CustomerRef]] &lt;&gt;"",COUNTIFS(tblTransactions[CustomerRef],tblTransactions[[#This Row],[CustomerRef]],tblTransactions[Amount],tblTransactions[[#This Row],[Amount]],tblTransactions[Date],tblTransactions[[#This Row],[Date]])&gt;1),"Yes","No")</f>
        <v>No</v>
      </c>
    </row>
    <row r="394" spans="1:15" x14ac:dyDescent="0.3">
      <c r="A394" t="s">
        <v>1152</v>
      </c>
      <c r="B394" s="2">
        <v>46291.59097222222</v>
      </c>
      <c r="C394" t="s">
        <v>24</v>
      </c>
      <c r="D394" t="s">
        <v>20</v>
      </c>
      <c r="E394" s="6">
        <v>26707.26</v>
      </c>
      <c r="F394" t="s">
        <v>111</v>
      </c>
      <c r="G394" t="s">
        <v>1153</v>
      </c>
      <c r="H394" t="s">
        <v>1154</v>
      </c>
      <c r="I394" s="116">
        <f>INT(tblTransactions[[#This Row],[TransactionDate]])</f>
        <v>46291</v>
      </c>
      <c r="J394" t="str">
        <f>IF(tblTransactions[[#This Row],[ApprovalID]]="", "R2 - Missing Approval Reference", "")</f>
        <v/>
      </c>
      <c r="K394" t="str">
        <f>IF(AND(tblTransactions[[#This Row],[ApprovalID]]&lt;&gt;"",COUNTIFS(tblApprovals[TransactionID],tblTransactions[[#This Row],[TransactionID]],tblApprovals[ApprovalID],tblTransactions[[#This Row],[ApprovalID]])=0),"R3 - Missing or Mismatched Approval Record", "")</f>
        <v/>
      </c>
      <c r="L39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4" t="str">
        <f>IF(AND(tblTransactions[[#This Row],[TransactionStatus]]="Success",COUNTIF(tblSettlement[TransactionID],tblTransactions[[#This Row],[TransactionID]])=0)," R5 - Successful Transaction Not Settled", "")</f>
        <v/>
      </c>
      <c r="N394" t="str">
        <f>IF(AND(COUNTIF(tblSettlement[TransactionID],tblTransactions[[#This Row],[TransactionID]])&gt;0,tblTransactions[[#This Row],[Amount]]&lt;&gt;SUMIF(tblSettlement[TransactionID],tblTransactions[[#This Row],[TransactionID]],tblSettlement[SettledAmount]))," R6 - Settlement Amount Mismatch", "")</f>
        <v/>
      </c>
      <c r="O394" t="str">
        <f>IF(AND(tblTransactions[[#This Row],[CustomerRef]] &lt;&gt;"",COUNTIFS(tblTransactions[CustomerRef],tblTransactions[[#This Row],[CustomerRef]],tblTransactions[Amount],tblTransactions[[#This Row],[Amount]],tblTransactions[Date],tblTransactions[[#This Row],[Date]])&gt;1),"Yes","No")</f>
        <v>No</v>
      </c>
    </row>
    <row r="395" spans="1:15" x14ac:dyDescent="0.3">
      <c r="A395" t="s">
        <v>1155</v>
      </c>
      <c r="B395" s="2">
        <v>46208.73541666667</v>
      </c>
      <c r="C395" t="s">
        <v>43</v>
      </c>
      <c r="D395" t="s">
        <v>29</v>
      </c>
      <c r="E395" s="6">
        <v>46369.04</v>
      </c>
      <c r="F395" t="s">
        <v>11</v>
      </c>
      <c r="G395" t="s">
        <v>1156</v>
      </c>
      <c r="H395" t="s">
        <v>1157</v>
      </c>
      <c r="I395" s="116">
        <f>INT(tblTransactions[[#This Row],[TransactionDate]])</f>
        <v>46208</v>
      </c>
      <c r="J395" t="str">
        <f>IF(tblTransactions[[#This Row],[ApprovalID]]="", "R2 - Missing Approval Reference", "")</f>
        <v/>
      </c>
      <c r="K395" t="str">
        <f>IF(AND(tblTransactions[[#This Row],[ApprovalID]]&lt;&gt;"",COUNTIFS(tblApprovals[TransactionID],tblTransactions[[#This Row],[TransactionID]],tblApprovals[ApprovalID],tblTransactions[[#This Row],[ApprovalID]])=0),"R3 - Missing or Mismatched Approval Record", "")</f>
        <v/>
      </c>
      <c r="L39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5" t="str">
        <f>IF(AND(tblTransactions[[#This Row],[TransactionStatus]]="Success",COUNTIF(tblSettlement[TransactionID],tblTransactions[[#This Row],[TransactionID]])=0)," R5 - Successful Transaction Not Settled", "")</f>
        <v/>
      </c>
      <c r="N395" t="str">
        <f>IF(AND(COUNTIF(tblSettlement[TransactionID],tblTransactions[[#This Row],[TransactionID]])&gt;0,tblTransactions[[#This Row],[Amount]]&lt;&gt;SUMIF(tblSettlement[TransactionID],tblTransactions[[#This Row],[TransactionID]],tblSettlement[SettledAmount]))," R6 - Settlement Amount Mismatch", "")</f>
        <v/>
      </c>
      <c r="O395" t="str">
        <f>IF(AND(tblTransactions[[#This Row],[CustomerRef]] &lt;&gt;"",COUNTIFS(tblTransactions[CustomerRef],tblTransactions[[#This Row],[CustomerRef]],tblTransactions[Amount],tblTransactions[[#This Row],[Amount]],tblTransactions[Date],tblTransactions[[#This Row],[Date]])&gt;1),"Yes","No")</f>
        <v>No</v>
      </c>
    </row>
    <row r="396" spans="1:15" x14ac:dyDescent="0.3">
      <c r="A396" t="s">
        <v>1158</v>
      </c>
      <c r="B396" s="2">
        <v>46211.386805555558</v>
      </c>
      <c r="C396" t="s">
        <v>28</v>
      </c>
      <c r="D396" t="s">
        <v>15</v>
      </c>
      <c r="E396" s="6">
        <v>28880.39</v>
      </c>
      <c r="F396" t="s">
        <v>11</v>
      </c>
      <c r="G396" t="s">
        <v>1159</v>
      </c>
      <c r="H396" t="s">
        <v>1160</v>
      </c>
      <c r="I396" s="116">
        <f>INT(tblTransactions[[#This Row],[TransactionDate]])</f>
        <v>46211</v>
      </c>
      <c r="J396" t="str">
        <f>IF(tblTransactions[[#This Row],[ApprovalID]]="", "R2 - Missing Approval Reference", "")</f>
        <v/>
      </c>
      <c r="K396" t="str">
        <f>IF(AND(tblTransactions[[#This Row],[ApprovalID]]&lt;&gt;"",COUNTIFS(tblApprovals[TransactionID],tblTransactions[[#This Row],[TransactionID]],tblApprovals[ApprovalID],tblTransactions[[#This Row],[ApprovalID]])=0),"R3 - Missing or Mismatched Approval Record", "")</f>
        <v/>
      </c>
      <c r="L39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6" t="str">
        <f>IF(AND(tblTransactions[[#This Row],[TransactionStatus]]="Success",COUNTIF(tblSettlement[TransactionID],tblTransactions[[#This Row],[TransactionID]])=0)," R5 - Successful Transaction Not Settled", "")</f>
        <v/>
      </c>
      <c r="N396" t="str">
        <f>IF(AND(COUNTIF(tblSettlement[TransactionID],tblTransactions[[#This Row],[TransactionID]])&gt;0,tblTransactions[[#This Row],[Amount]]&lt;&gt;SUMIF(tblSettlement[TransactionID],tblTransactions[[#This Row],[TransactionID]],tblSettlement[SettledAmount]))," R6 - Settlement Amount Mismatch", "")</f>
        <v/>
      </c>
      <c r="O396" t="str">
        <f>IF(AND(tblTransactions[[#This Row],[CustomerRef]] &lt;&gt;"",COUNTIFS(tblTransactions[CustomerRef],tblTransactions[[#This Row],[CustomerRef]],tblTransactions[Amount],tblTransactions[[#This Row],[Amount]],tblTransactions[Date],tblTransactions[[#This Row],[Date]])&gt;1),"Yes","No")</f>
        <v>No</v>
      </c>
    </row>
    <row r="397" spans="1:15" x14ac:dyDescent="0.3">
      <c r="A397" t="s">
        <v>1161</v>
      </c>
      <c r="B397" s="2">
        <v>46206.618055555555</v>
      </c>
      <c r="C397" t="s">
        <v>43</v>
      </c>
      <c r="D397" t="s">
        <v>20</v>
      </c>
      <c r="E397" s="6">
        <v>53574.46</v>
      </c>
      <c r="F397" t="s">
        <v>11</v>
      </c>
      <c r="G397" t="s">
        <v>1162</v>
      </c>
      <c r="H397" t="s">
        <v>1163</v>
      </c>
      <c r="I397" s="116">
        <f>INT(tblTransactions[[#This Row],[TransactionDate]])</f>
        <v>46206</v>
      </c>
      <c r="J397" t="str">
        <f>IF(tblTransactions[[#This Row],[ApprovalID]]="", "R2 - Missing Approval Reference", "")</f>
        <v/>
      </c>
      <c r="K397" t="str">
        <f>IF(AND(tblTransactions[[#This Row],[ApprovalID]]&lt;&gt;"",COUNTIFS(tblApprovals[TransactionID],tblTransactions[[#This Row],[TransactionID]],tblApprovals[ApprovalID],tblTransactions[[#This Row],[ApprovalID]])=0),"R3 - Missing or Mismatched Approval Record", "")</f>
        <v>R3 - Missing or Mismatched Approval Record</v>
      </c>
      <c r="L39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7" t="str">
        <f>IF(AND(tblTransactions[[#This Row],[TransactionStatus]]="Success",COUNTIF(tblSettlement[TransactionID],tblTransactions[[#This Row],[TransactionID]])=0)," R5 - Successful Transaction Not Settled", "")</f>
        <v/>
      </c>
      <c r="N397" t="str">
        <f>IF(AND(COUNTIF(tblSettlement[TransactionID],tblTransactions[[#This Row],[TransactionID]])&gt;0,tblTransactions[[#This Row],[Amount]]&lt;&gt;SUMIF(tblSettlement[TransactionID],tblTransactions[[#This Row],[TransactionID]],tblSettlement[SettledAmount]))," R6 - Settlement Amount Mismatch", "")</f>
        <v/>
      </c>
      <c r="O397" t="str">
        <f>IF(AND(tblTransactions[[#This Row],[CustomerRef]] &lt;&gt;"",COUNTIFS(tblTransactions[CustomerRef],tblTransactions[[#This Row],[CustomerRef]],tblTransactions[Amount],tblTransactions[[#This Row],[Amount]],tblTransactions[Date],tblTransactions[[#This Row],[Date]])&gt;1),"Yes","No")</f>
        <v>No</v>
      </c>
    </row>
    <row r="398" spans="1:15" x14ac:dyDescent="0.3">
      <c r="A398" t="s">
        <v>1164</v>
      </c>
      <c r="B398" s="2">
        <v>46245.595138888886</v>
      </c>
      <c r="C398" t="s">
        <v>9</v>
      </c>
      <c r="D398" t="s">
        <v>10</v>
      </c>
      <c r="E398" s="6">
        <v>13691.24</v>
      </c>
      <c r="F398" t="s">
        <v>11</v>
      </c>
      <c r="G398" t="s">
        <v>1165</v>
      </c>
      <c r="H398" t="s">
        <v>1166</v>
      </c>
      <c r="I398" s="116">
        <f>INT(tblTransactions[[#This Row],[TransactionDate]])</f>
        <v>46245</v>
      </c>
      <c r="J398" t="str">
        <f>IF(tblTransactions[[#This Row],[ApprovalID]]="", "R2 - Missing Approval Reference", "")</f>
        <v/>
      </c>
      <c r="K398" t="str">
        <f>IF(AND(tblTransactions[[#This Row],[ApprovalID]]&lt;&gt;"",COUNTIFS(tblApprovals[TransactionID],tblTransactions[[#This Row],[TransactionID]],tblApprovals[ApprovalID],tblTransactions[[#This Row],[ApprovalID]])=0),"R3 - Missing or Mismatched Approval Record", "")</f>
        <v/>
      </c>
      <c r="L39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398" t="str">
        <f>IF(AND(tblTransactions[[#This Row],[TransactionStatus]]="Success",COUNTIF(tblSettlement[TransactionID],tblTransactions[[#This Row],[TransactionID]])=0)," R5 - Successful Transaction Not Settled", "")</f>
        <v/>
      </c>
      <c r="N398" t="str">
        <f>IF(AND(COUNTIF(tblSettlement[TransactionID],tblTransactions[[#This Row],[TransactionID]])&gt;0,tblTransactions[[#This Row],[Amount]]&lt;&gt;SUMIF(tblSettlement[TransactionID],tblTransactions[[#This Row],[TransactionID]],tblSettlement[SettledAmount]))," R6 - Settlement Amount Mismatch", "")</f>
        <v/>
      </c>
      <c r="O398" t="str">
        <f>IF(AND(tblTransactions[[#This Row],[CustomerRef]] &lt;&gt;"",COUNTIFS(tblTransactions[CustomerRef],tblTransactions[[#This Row],[CustomerRef]],tblTransactions[Amount],tblTransactions[[#This Row],[Amount]],tblTransactions[Date],tblTransactions[[#This Row],[Date]])&gt;1),"Yes","No")</f>
        <v>No</v>
      </c>
    </row>
    <row r="399" spans="1:15" x14ac:dyDescent="0.3">
      <c r="A399" t="s">
        <v>1167</v>
      </c>
      <c r="B399" s="2">
        <v>46211.854166666664</v>
      </c>
      <c r="C399" t="s">
        <v>9</v>
      </c>
      <c r="D399" t="s">
        <v>69</v>
      </c>
      <c r="E399" s="6">
        <v>39825.06</v>
      </c>
      <c r="F399" t="s">
        <v>11</v>
      </c>
      <c r="G399" t="s">
        <v>1168</v>
      </c>
      <c r="H399" t="s">
        <v>1169</v>
      </c>
      <c r="I399" s="116">
        <f>INT(tblTransactions[[#This Row],[TransactionDate]])</f>
        <v>46211</v>
      </c>
      <c r="J399" t="str">
        <f>IF(tblTransactions[[#This Row],[ApprovalID]]="", "R2 - Missing Approval Reference", "")</f>
        <v/>
      </c>
      <c r="K399" t="str">
        <f>IF(AND(tblTransactions[[#This Row],[ApprovalID]]&lt;&gt;"",COUNTIFS(tblApprovals[TransactionID],tblTransactions[[#This Row],[TransactionID]],tblApprovals[ApprovalID],tblTransactions[[#This Row],[ApprovalID]])=0),"R3 - Missing or Mismatched Approval Record", "")</f>
        <v/>
      </c>
      <c r="L39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399" t="str">
        <f>IF(AND(tblTransactions[[#This Row],[TransactionStatus]]="Success",COUNTIF(tblSettlement[TransactionID],tblTransactions[[#This Row],[TransactionID]])=0)," R5 - Successful Transaction Not Settled", "")</f>
        <v/>
      </c>
      <c r="N399" t="str">
        <f>IF(AND(COUNTIF(tblSettlement[TransactionID],tblTransactions[[#This Row],[TransactionID]])&gt;0,tblTransactions[[#This Row],[Amount]]&lt;&gt;SUMIF(tblSettlement[TransactionID],tblTransactions[[#This Row],[TransactionID]],tblSettlement[SettledAmount]))," R6 - Settlement Amount Mismatch", "")</f>
        <v/>
      </c>
      <c r="O399" t="str">
        <f>IF(AND(tblTransactions[[#This Row],[CustomerRef]] &lt;&gt;"",COUNTIFS(tblTransactions[CustomerRef],tblTransactions[[#This Row],[CustomerRef]],tblTransactions[Amount],tblTransactions[[#This Row],[Amount]],tblTransactions[Date],tblTransactions[[#This Row],[Date]])&gt;1),"Yes","No")</f>
        <v>No</v>
      </c>
    </row>
    <row r="400" spans="1:15" x14ac:dyDescent="0.3">
      <c r="A400" t="s">
        <v>1170</v>
      </c>
      <c r="B400" s="2">
        <v>46238.702777777777</v>
      </c>
      <c r="C400" t="s">
        <v>9</v>
      </c>
      <c r="D400" t="s">
        <v>15</v>
      </c>
      <c r="E400" s="6">
        <v>59394.98</v>
      </c>
      <c r="F400" t="s">
        <v>11</v>
      </c>
      <c r="G400" t="s">
        <v>1171</v>
      </c>
      <c r="H400" t="s">
        <v>1172</v>
      </c>
      <c r="I400" s="116">
        <f>INT(tblTransactions[[#This Row],[TransactionDate]])</f>
        <v>46238</v>
      </c>
      <c r="J400" t="str">
        <f>IF(tblTransactions[[#This Row],[ApprovalID]]="", "R2 - Missing Approval Reference", "")</f>
        <v/>
      </c>
      <c r="K400" t="str">
        <f>IF(AND(tblTransactions[[#This Row],[ApprovalID]]&lt;&gt;"",COUNTIFS(tblApprovals[TransactionID],tblTransactions[[#This Row],[TransactionID]],tblApprovals[ApprovalID],tblTransactions[[#This Row],[ApprovalID]])=0),"R3 - Missing or Mismatched Approval Record", "")</f>
        <v/>
      </c>
      <c r="L40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0" t="str">
        <f>IF(AND(tblTransactions[[#This Row],[TransactionStatus]]="Success",COUNTIF(tblSettlement[TransactionID],tblTransactions[[#This Row],[TransactionID]])=0)," R5 - Successful Transaction Not Settled", "")</f>
        <v/>
      </c>
      <c r="N400" t="str">
        <f>IF(AND(COUNTIF(tblSettlement[TransactionID],tblTransactions[[#This Row],[TransactionID]])&gt;0,tblTransactions[[#This Row],[Amount]]&lt;&gt;SUMIF(tblSettlement[TransactionID],tblTransactions[[#This Row],[TransactionID]],tblSettlement[SettledAmount]))," R6 - Settlement Amount Mismatch", "")</f>
        <v/>
      </c>
      <c r="O400" t="str">
        <f>IF(AND(tblTransactions[[#This Row],[CustomerRef]] &lt;&gt;"",COUNTIFS(tblTransactions[CustomerRef],tblTransactions[[#This Row],[CustomerRef]],tblTransactions[Amount],tblTransactions[[#This Row],[Amount]],tblTransactions[Date],tblTransactions[[#This Row],[Date]])&gt;1),"Yes","No")</f>
        <v>No</v>
      </c>
    </row>
    <row r="401" spans="1:15" x14ac:dyDescent="0.3">
      <c r="A401" t="s">
        <v>1173</v>
      </c>
      <c r="B401" s="2">
        <v>46249.953472222223</v>
      </c>
      <c r="C401" t="s">
        <v>9</v>
      </c>
      <c r="D401" t="s">
        <v>15</v>
      </c>
      <c r="E401" s="6">
        <v>74367.759999999995</v>
      </c>
      <c r="F401" t="s">
        <v>11</v>
      </c>
      <c r="G401" t="s">
        <v>1174</v>
      </c>
      <c r="H401" t="s">
        <v>1175</v>
      </c>
      <c r="I401" s="116">
        <f>INT(tblTransactions[[#This Row],[TransactionDate]])</f>
        <v>46249</v>
      </c>
      <c r="J401" t="str">
        <f>IF(tblTransactions[[#This Row],[ApprovalID]]="", "R2 - Missing Approval Reference", "")</f>
        <v/>
      </c>
      <c r="K401" t="str">
        <f>IF(AND(tblTransactions[[#This Row],[ApprovalID]]&lt;&gt;"",COUNTIFS(tblApprovals[TransactionID],tblTransactions[[#This Row],[TransactionID]],tblApprovals[ApprovalID],tblTransactions[[#This Row],[ApprovalID]])=0),"R3 - Missing or Mismatched Approval Record", "")</f>
        <v/>
      </c>
      <c r="L40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1" t="str">
        <f>IF(AND(tblTransactions[[#This Row],[TransactionStatus]]="Success",COUNTIF(tblSettlement[TransactionID],tblTransactions[[#This Row],[TransactionID]])=0)," R5 - Successful Transaction Not Settled", "")</f>
        <v/>
      </c>
      <c r="N401" t="str">
        <f>IF(AND(COUNTIF(tblSettlement[TransactionID],tblTransactions[[#This Row],[TransactionID]])&gt;0,tblTransactions[[#This Row],[Amount]]&lt;&gt;SUMIF(tblSettlement[TransactionID],tblTransactions[[#This Row],[TransactionID]],tblSettlement[SettledAmount]))," R6 - Settlement Amount Mismatch", "")</f>
        <v/>
      </c>
      <c r="O401" t="str">
        <f>IF(AND(tblTransactions[[#This Row],[CustomerRef]] &lt;&gt;"",COUNTIFS(tblTransactions[CustomerRef],tblTransactions[[#This Row],[CustomerRef]],tblTransactions[Amount],tblTransactions[[#This Row],[Amount]],tblTransactions[Date],tblTransactions[[#This Row],[Date]])&gt;1),"Yes","No")</f>
        <v>No</v>
      </c>
    </row>
    <row r="402" spans="1:15" x14ac:dyDescent="0.3">
      <c r="A402" t="s">
        <v>1176</v>
      </c>
      <c r="B402" s="2">
        <v>46279.364583333336</v>
      </c>
      <c r="C402" t="s">
        <v>19</v>
      </c>
      <c r="D402" t="s">
        <v>69</v>
      </c>
      <c r="E402" s="6">
        <v>52616.92</v>
      </c>
      <c r="F402" t="s">
        <v>111</v>
      </c>
      <c r="G402" t="s">
        <v>1177</v>
      </c>
      <c r="H402" t="s">
        <v>517</v>
      </c>
      <c r="I402" s="116">
        <f>INT(tblTransactions[[#This Row],[TransactionDate]])</f>
        <v>46279</v>
      </c>
      <c r="J402" t="str">
        <f>IF(tblTransactions[[#This Row],[ApprovalID]]="", "R2 - Missing Approval Reference", "")</f>
        <v/>
      </c>
      <c r="K402" t="str">
        <f>IF(AND(tblTransactions[[#This Row],[ApprovalID]]&lt;&gt;"",COUNTIFS(tblApprovals[TransactionID],tblTransactions[[#This Row],[TransactionID]],tblApprovals[ApprovalID],tblTransactions[[#This Row],[ApprovalID]])=0),"R3 - Missing or Mismatched Approval Record", "")</f>
        <v/>
      </c>
      <c r="L40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2" t="str">
        <f>IF(AND(tblTransactions[[#This Row],[TransactionStatus]]="Success",COUNTIF(tblSettlement[TransactionID],tblTransactions[[#This Row],[TransactionID]])=0)," R5 - Successful Transaction Not Settled", "")</f>
        <v/>
      </c>
      <c r="N402" t="str">
        <f>IF(AND(COUNTIF(tblSettlement[TransactionID],tblTransactions[[#This Row],[TransactionID]])&gt;0,tblTransactions[[#This Row],[Amount]]&lt;&gt;SUMIF(tblSettlement[TransactionID],tblTransactions[[#This Row],[TransactionID]],tblSettlement[SettledAmount]))," R6 - Settlement Amount Mismatch", "")</f>
        <v/>
      </c>
      <c r="O402" t="str">
        <f>IF(AND(tblTransactions[[#This Row],[CustomerRef]] &lt;&gt;"",COUNTIFS(tblTransactions[CustomerRef],tblTransactions[[#This Row],[CustomerRef]],tblTransactions[Amount],tblTransactions[[#This Row],[Amount]],tblTransactions[Date],tblTransactions[[#This Row],[Date]])&gt;1),"Yes","No")</f>
        <v>No</v>
      </c>
    </row>
    <row r="403" spans="1:15" x14ac:dyDescent="0.3">
      <c r="A403" t="s">
        <v>1178</v>
      </c>
      <c r="B403" s="2">
        <v>46267.679861111108</v>
      </c>
      <c r="C403" t="s">
        <v>47</v>
      </c>
      <c r="D403" t="s">
        <v>69</v>
      </c>
      <c r="E403" s="6">
        <v>13372.87</v>
      </c>
      <c r="F403" t="s">
        <v>11</v>
      </c>
      <c r="G403" t="s">
        <v>1179</v>
      </c>
      <c r="H403" t="s">
        <v>1180</v>
      </c>
      <c r="I403" s="116">
        <f>INT(tblTransactions[[#This Row],[TransactionDate]])</f>
        <v>46267</v>
      </c>
      <c r="J403" t="str">
        <f>IF(tblTransactions[[#This Row],[ApprovalID]]="", "R2 - Missing Approval Reference", "")</f>
        <v/>
      </c>
      <c r="K403" t="str">
        <f>IF(AND(tblTransactions[[#This Row],[ApprovalID]]&lt;&gt;"",COUNTIFS(tblApprovals[TransactionID],tblTransactions[[#This Row],[TransactionID]],tblApprovals[ApprovalID],tblTransactions[[#This Row],[ApprovalID]])=0),"R3 - Missing or Mismatched Approval Record", "")</f>
        <v/>
      </c>
      <c r="L40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3" t="str">
        <f>IF(AND(tblTransactions[[#This Row],[TransactionStatus]]="Success",COUNTIF(tblSettlement[TransactionID],tblTransactions[[#This Row],[TransactionID]])=0)," R5 - Successful Transaction Not Settled", "")</f>
        <v/>
      </c>
      <c r="N403" t="str">
        <f>IF(AND(COUNTIF(tblSettlement[TransactionID],tblTransactions[[#This Row],[TransactionID]])&gt;0,tblTransactions[[#This Row],[Amount]]&lt;&gt;SUMIF(tblSettlement[TransactionID],tblTransactions[[#This Row],[TransactionID]],tblSettlement[SettledAmount]))," R6 - Settlement Amount Mismatch", "")</f>
        <v/>
      </c>
      <c r="O403" t="str">
        <f>IF(AND(tblTransactions[[#This Row],[CustomerRef]] &lt;&gt;"",COUNTIFS(tblTransactions[CustomerRef],tblTransactions[[#This Row],[CustomerRef]],tblTransactions[Amount],tblTransactions[[#This Row],[Amount]],tblTransactions[Date],tblTransactions[[#This Row],[Date]])&gt;1),"Yes","No")</f>
        <v>No</v>
      </c>
    </row>
    <row r="404" spans="1:15" x14ac:dyDescent="0.3">
      <c r="A404" t="s">
        <v>1181</v>
      </c>
      <c r="B404" s="2">
        <v>46271.625</v>
      </c>
      <c r="C404" t="s">
        <v>9</v>
      </c>
      <c r="D404" t="s">
        <v>20</v>
      </c>
      <c r="E404" s="6">
        <v>25047.119999999999</v>
      </c>
      <c r="F404" t="s">
        <v>11</v>
      </c>
      <c r="G404" t="s">
        <v>1182</v>
      </c>
      <c r="H404" t="s">
        <v>1183</v>
      </c>
      <c r="I404" s="116">
        <f>INT(tblTransactions[[#This Row],[TransactionDate]])</f>
        <v>46271</v>
      </c>
      <c r="J404" t="str">
        <f>IF(tblTransactions[[#This Row],[ApprovalID]]="", "R2 - Missing Approval Reference", "")</f>
        <v/>
      </c>
      <c r="K404" t="str">
        <f>IF(AND(tblTransactions[[#This Row],[ApprovalID]]&lt;&gt;"",COUNTIFS(tblApprovals[TransactionID],tblTransactions[[#This Row],[TransactionID]],tblApprovals[ApprovalID],tblTransactions[[#This Row],[ApprovalID]])=0),"R3 - Missing or Mismatched Approval Record", "")</f>
        <v/>
      </c>
      <c r="L40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4" t="str">
        <f>IF(AND(tblTransactions[[#This Row],[TransactionStatus]]="Success",COUNTIF(tblSettlement[TransactionID],tblTransactions[[#This Row],[TransactionID]])=0)," R5 - Successful Transaction Not Settled", "")</f>
        <v/>
      </c>
      <c r="N404" t="str">
        <f>IF(AND(COUNTIF(tblSettlement[TransactionID],tblTransactions[[#This Row],[TransactionID]])&gt;0,tblTransactions[[#This Row],[Amount]]&lt;&gt;SUMIF(tblSettlement[TransactionID],tblTransactions[[#This Row],[TransactionID]],tblSettlement[SettledAmount]))," R6 - Settlement Amount Mismatch", "")</f>
        <v/>
      </c>
      <c r="O404" t="str">
        <f>IF(AND(tblTransactions[[#This Row],[CustomerRef]] &lt;&gt;"",COUNTIFS(tblTransactions[CustomerRef],tblTransactions[[#This Row],[CustomerRef]],tblTransactions[Amount],tblTransactions[[#This Row],[Amount]],tblTransactions[Date],tblTransactions[[#This Row],[Date]])&gt;1),"Yes","No")</f>
        <v>No</v>
      </c>
    </row>
    <row r="405" spans="1:15" x14ac:dyDescent="0.3">
      <c r="A405" t="s">
        <v>1184</v>
      </c>
      <c r="B405" s="2">
        <v>46211.339583333334</v>
      </c>
      <c r="C405" t="s">
        <v>47</v>
      </c>
      <c r="D405" t="s">
        <v>15</v>
      </c>
      <c r="E405" s="6">
        <v>44099.040000000001</v>
      </c>
      <c r="F405" t="s">
        <v>111</v>
      </c>
      <c r="G405" t="s">
        <v>1185</v>
      </c>
      <c r="H405" t="s">
        <v>121</v>
      </c>
      <c r="I405" s="116">
        <f>INT(tblTransactions[[#This Row],[TransactionDate]])</f>
        <v>46211</v>
      </c>
      <c r="J405" t="str">
        <f>IF(tblTransactions[[#This Row],[ApprovalID]]="", "R2 - Missing Approval Reference", "")</f>
        <v/>
      </c>
      <c r="K405" t="str">
        <f>IF(AND(tblTransactions[[#This Row],[ApprovalID]]&lt;&gt;"",COUNTIFS(tblApprovals[TransactionID],tblTransactions[[#This Row],[TransactionID]],tblApprovals[ApprovalID],tblTransactions[[#This Row],[ApprovalID]])=0),"R3 - Missing or Mismatched Approval Record", "")</f>
        <v/>
      </c>
      <c r="L40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5" t="str">
        <f>IF(AND(tblTransactions[[#This Row],[TransactionStatus]]="Success",COUNTIF(tblSettlement[TransactionID],tblTransactions[[#This Row],[TransactionID]])=0)," R5 - Successful Transaction Not Settled", "")</f>
        <v/>
      </c>
      <c r="N405" t="str">
        <f>IF(AND(COUNTIF(tblSettlement[TransactionID],tblTransactions[[#This Row],[TransactionID]])&gt;0,tblTransactions[[#This Row],[Amount]]&lt;&gt;SUMIF(tblSettlement[TransactionID],tblTransactions[[#This Row],[TransactionID]],tblSettlement[SettledAmount]))," R6 - Settlement Amount Mismatch", "")</f>
        <v/>
      </c>
      <c r="O405" t="str">
        <f>IF(AND(tblTransactions[[#This Row],[CustomerRef]] &lt;&gt;"",COUNTIFS(tblTransactions[CustomerRef],tblTransactions[[#This Row],[CustomerRef]],tblTransactions[Amount],tblTransactions[[#This Row],[Amount]],tblTransactions[Date],tblTransactions[[#This Row],[Date]])&gt;1),"Yes","No")</f>
        <v>No</v>
      </c>
    </row>
    <row r="406" spans="1:15" x14ac:dyDescent="0.3">
      <c r="A406" t="s">
        <v>1186</v>
      </c>
      <c r="B406" s="2">
        <v>46251.820833333331</v>
      </c>
      <c r="C406" t="s">
        <v>24</v>
      </c>
      <c r="D406" t="s">
        <v>20</v>
      </c>
      <c r="E406" s="6">
        <v>29820.77</v>
      </c>
      <c r="F406" t="s">
        <v>11</v>
      </c>
      <c r="G406" t="s">
        <v>1187</v>
      </c>
      <c r="H406" t="s">
        <v>1188</v>
      </c>
      <c r="I406" s="116">
        <f>INT(tblTransactions[[#This Row],[TransactionDate]])</f>
        <v>46251</v>
      </c>
      <c r="J406" t="str">
        <f>IF(tblTransactions[[#This Row],[ApprovalID]]="", "R2 - Missing Approval Reference", "")</f>
        <v/>
      </c>
      <c r="K406" t="str">
        <f>IF(AND(tblTransactions[[#This Row],[ApprovalID]]&lt;&gt;"",COUNTIFS(tblApprovals[TransactionID],tblTransactions[[#This Row],[TransactionID]],tblApprovals[ApprovalID],tblTransactions[[#This Row],[ApprovalID]])=0),"R3 - Missing or Mismatched Approval Record", "")</f>
        <v/>
      </c>
      <c r="L40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6" t="str">
        <f>IF(AND(tblTransactions[[#This Row],[TransactionStatus]]="Success",COUNTIF(tblSettlement[TransactionID],tblTransactions[[#This Row],[TransactionID]])=0)," R5 - Successful Transaction Not Settled", "")</f>
        <v/>
      </c>
      <c r="N406" t="str">
        <f>IF(AND(COUNTIF(tblSettlement[TransactionID],tblTransactions[[#This Row],[TransactionID]])&gt;0,tblTransactions[[#This Row],[Amount]]&lt;&gt;SUMIF(tblSettlement[TransactionID],tblTransactions[[#This Row],[TransactionID]],tblSettlement[SettledAmount]))," R6 - Settlement Amount Mismatch", "")</f>
        <v/>
      </c>
      <c r="O406" t="str">
        <f>IF(AND(tblTransactions[[#This Row],[CustomerRef]] &lt;&gt;"",COUNTIFS(tblTransactions[CustomerRef],tblTransactions[[#This Row],[CustomerRef]],tblTransactions[Amount],tblTransactions[[#This Row],[Amount]],tblTransactions[Date],tblTransactions[[#This Row],[Date]])&gt;1),"Yes","No")</f>
        <v>No</v>
      </c>
    </row>
    <row r="407" spans="1:15" x14ac:dyDescent="0.3">
      <c r="A407" t="s">
        <v>1189</v>
      </c>
      <c r="B407" s="2">
        <v>46259.861111111109</v>
      </c>
      <c r="C407" t="s">
        <v>9</v>
      </c>
      <c r="D407" t="s">
        <v>15</v>
      </c>
      <c r="E407" s="6">
        <v>72059.490000000005</v>
      </c>
      <c r="F407" t="s">
        <v>11</v>
      </c>
      <c r="G407" t="s">
        <v>1190</v>
      </c>
      <c r="H407" t="s">
        <v>1191</v>
      </c>
      <c r="I407" s="116">
        <f>INT(tblTransactions[[#This Row],[TransactionDate]])</f>
        <v>46259</v>
      </c>
      <c r="J407" t="str">
        <f>IF(tblTransactions[[#This Row],[ApprovalID]]="", "R2 - Missing Approval Reference", "")</f>
        <v/>
      </c>
      <c r="K407" t="str">
        <f>IF(AND(tblTransactions[[#This Row],[ApprovalID]]&lt;&gt;"",COUNTIFS(tblApprovals[TransactionID],tblTransactions[[#This Row],[TransactionID]],tblApprovals[ApprovalID],tblTransactions[[#This Row],[ApprovalID]])=0),"R3 - Missing or Mismatched Approval Record", "")</f>
        <v/>
      </c>
      <c r="L40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7" t="str">
        <f>IF(AND(tblTransactions[[#This Row],[TransactionStatus]]="Success",COUNTIF(tblSettlement[TransactionID],tblTransactions[[#This Row],[TransactionID]])=0)," R5 - Successful Transaction Not Settled", "")</f>
        <v/>
      </c>
      <c r="N407" t="str">
        <f>IF(AND(COUNTIF(tblSettlement[TransactionID],tblTransactions[[#This Row],[TransactionID]])&gt;0,tblTransactions[[#This Row],[Amount]]&lt;&gt;SUMIF(tblSettlement[TransactionID],tblTransactions[[#This Row],[TransactionID]],tblSettlement[SettledAmount]))," R6 - Settlement Amount Mismatch", "")</f>
        <v/>
      </c>
      <c r="O407" t="str">
        <f>IF(AND(tblTransactions[[#This Row],[CustomerRef]] &lt;&gt;"",COUNTIFS(tblTransactions[CustomerRef],tblTransactions[[#This Row],[CustomerRef]],tblTransactions[Amount],tblTransactions[[#This Row],[Amount]],tblTransactions[Date],tblTransactions[[#This Row],[Date]])&gt;1),"Yes","No")</f>
        <v>No</v>
      </c>
    </row>
    <row r="408" spans="1:15" x14ac:dyDescent="0.3">
      <c r="A408" t="s">
        <v>1192</v>
      </c>
      <c r="B408" s="2">
        <v>46232.775694444441</v>
      </c>
      <c r="C408" t="s">
        <v>28</v>
      </c>
      <c r="D408" t="s">
        <v>20</v>
      </c>
      <c r="E408" s="6">
        <v>61130.45</v>
      </c>
      <c r="F408" t="s">
        <v>11</v>
      </c>
      <c r="G408" t="s">
        <v>1193</v>
      </c>
      <c r="H408" t="s">
        <v>1194</v>
      </c>
      <c r="I408" s="116">
        <f>INT(tblTransactions[[#This Row],[TransactionDate]])</f>
        <v>46232</v>
      </c>
      <c r="J408" t="str">
        <f>IF(tblTransactions[[#This Row],[ApprovalID]]="", "R2 - Missing Approval Reference", "")</f>
        <v/>
      </c>
      <c r="K408" t="str">
        <f>IF(AND(tblTransactions[[#This Row],[ApprovalID]]&lt;&gt;"",COUNTIFS(tblApprovals[TransactionID],tblTransactions[[#This Row],[TransactionID]],tblApprovals[ApprovalID],tblTransactions[[#This Row],[ApprovalID]])=0),"R3 - Missing or Mismatched Approval Record", "")</f>
        <v/>
      </c>
      <c r="L40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8" t="str">
        <f>IF(AND(tblTransactions[[#This Row],[TransactionStatus]]="Success",COUNTIF(tblSettlement[TransactionID],tblTransactions[[#This Row],[TransactionID]])=0)," R5 - Successful Transaction Not Settled", "")</f>
        <v/>
      </c>
      <c r="N408" t="str">
        <f>IF(AND(COUNTIF(tblSettlement[TransactionID],tblTransactions[[#This Row],[TransactionID]])&gt;0,tblTransactions[[#This Row],[Amount]]&lt;&gt;SUMIF(tblSettlement[TransactionID],tblTransactions[[#This Row],[TransactionID]],tblSettlement[SettledAmount]))," R6 - Settlement Amount Mismatch", "")</f>
        <v/>
      </c>
      <c r="O408" t="str">
        <f>IF(AND(tblTransactions[[#This Row],[CustomerRef]] &lt;&gt;"",COUNTIFS(tblTransactions[CustomerRef],tblTransactions[[#This Row],[CustomerRef]],tblTransactions[Amount],tblTransactions[[#This Row],[Amount]],tblTransactions[Date],tblTransactions[[#This Row],[Date]])&gt;1),"Yes","No")</f>
        <v>No</v>
      </c>
    </row>
    <row r="409" spans="1:15" x14ac:dyDescent="0.3">
      <c r="A409" t="s">
        <v>1195</v>
      </c>
      <c r="B409" s="2">
        <v>46293.725694444445</v>
      </c>
      <c r="C409" t="s">
        <v>19</v>
      </c>
      <c r="D409" t="s">
        <v>10</v>
      </c>
      <c r="E409" s="6">
        <v>63844.08</v>
      </c>
      <c r="F409" t="s">
        <v>11</v>
      </c>
      <c r="G409" t="s">
        <v>1196</v>
      </c>
      <c r="H409" t="s">
        <v>1197</v>
      </c>
      <c r="I409" s="116">
        <f>INT(tblTransactions[[#This Row],[TransactionDate]])</f>
        <v>46293</v>
      </c>
      <c r="J409" t="str">
        <f>IF(tblTransactions[[#This Row],[ApprovalID]]="", "R2 - Missing Approval Reference", "")</f>
        <v/>
      </c>
      <c r="K409" t="str">
        <f>IF(AND(tblTransactions[[#This Row],[ApprovalID]]&lt;&gt;"",COUNTIFS(tblApprovals[TransactionID],tblTransactions[[#This Row],[TransactionID]],tblApprovals[ApprovalID],tblTransactions[[#This Row],[ApprovalID]])=0),"R3 - Missing or Mismatched Approval Record", "")</f>
        <v/>
      </c>
      <c r="L40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09" t="str">
        <f>IF(AND(tblTransactions[[#This Row],[TransactionStatus]]="Success",COUNTIF(tblSettlement[TransactionID],tblTransactions[[#This Row],[TransactionID]])=0)," R5 - Successful Transaction Not Settled", "")</f>
        <v/>
      </c>
      <c r="N409" t="str">
        <f>IF(AND(COUNTIF(tblSettlement[TransactionID],tblTransactions[[#This Row],[TransactionID]])&gt;0,tblTransactions[[#This Row],[Amount]]&lt;&gt;SUMIF(tblSettlement[TransactionID],tblTransactions[[#This Row],[TransactionID]],tblSettlement[SettledAmount]))," R6 - Settlement Amount Mismatch", "")</f>
        <v/>
      </c>
      <c r="O409" t="str">
        <f>IF(AND(tblTransactions[[#This Row],[CustomerRef]] &lt;&gt;"",COUNTIFS(tblTransactions[CustomerRef],tblTransactions[[#This Row],[CustomerRef]],tblTransactions[Amount],tblTransactions[[#This Row],[Amount]],tblTransactions[Date],tblTransactions[[#This Row],[Date]])&gt;1),"Yes","No")</f>
        <v>No</v>
      </c>
    </row>
    <row r="410" spans="1:15" x14ac:dyDescent="0.3">
      <c r="A410" t="s">
        <v>1198</v>
      </c>
      <c r="B410" s="2">
        <v>46282.486111111109</v>
      </c>
      <c r="C410" t="s">
        <v>9</v>
      </c>
      <c r="D410" t="s">
        <v>20</v>
      </c>
      <c r="E410" s="6">
        <v>42524.88</v>
      </c>
      <c r="F410" t="s">
        <v>111</v>
      </c>
      <c r="G410" t="s">
        <v>1199</v>
      </c>
      <c r="H410" t="s">
        <v>1200</v>
      </c>
      <c r="I410" s="116">
        <f>INT(tblTransactions[[#This Row],[TransactionDate]])</f>
        <v>46282</v>
      </c>
      <c r="J410" t="str">
        <f>IF(tblTransactions[[#This Row],[ApprovalID]]="", "R2 - Missing Approval Reference", "")</f>
        <v/>
      </c>
      <c r="K410" t="str">
        <f>IF(AND(tblTransactions[[#This Row],[ApprovalID]]&lt;&gt;"",COUNTIFS(tblApprovals[TransactionID],tblTransactions[[#This Row],[TransactionID]],tblApprovals[ApprovalID],tblTransactions[[#This Row],[ApprovalID]])=0),"R3 - Missing or Mismatched Approval Record", "")</f>
        <v/>
      </c>
      <c r="L41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0" t="str">
        <f>IF(AND(tblTransactions[[#This Row],[TransactionStatus]]="Success",COUNTIF(tblSettlement[TransactionID],tblTransactions[[#This Row],[TransactionID]])=0)," R5 - Successful Transaction Not Settled", "")</f>
        <v/>
      </c>
      <c r="N410" t="str">
        <f>IF(AND(COUNTIF(tblSettlement[TransactionID],tblTransactions[[#This Row],[TransactionID]])&gt;0,tblTransactions[[#This Row],[Amount]]&lt;&gt;SUMIF(tblSettlement[TransactionID],tblTransactions[[#This Row],[TransactionID]],tblSettlement[SettledAmount]))," R6 - Settlement Amount Mismatch", "")</f>
        <v/>
      </c>
      <c r="O410" t="str">
        <f>IF(AND(tblTransactions[[#This Row],[CustomerRef]] &lt;&gt;"",COUNTIFS(tblTransactions[CustomerRef],tblTransactions[[#This Row],[CustomerRef]],tblTransactions[Amount],tblTransactions[[#This Row],[Amount]],tblTransactions[Date],tblTransactions[[#This Row],[Date]])&gt;1),"Yes","No")</f>
        <v>No</v>
      </c>
    </row>
    <row r="411" spans="1:15" x14ac:dyDescent="0.3">
      <c r="A411" t="s">
        <v>1201</v>
      </c>
      <c r="B411" s="2">
        <v>46248.548611111109</v>
      </c>
      <c r="C411" t="s">
        <v>28</v>
      </c>
      <c r="D411" t="s">
        <v>20</v>
      </c>
      <c r="E411" s="6">
        <v>47804.959999999999</v>
      </c>
      <c r="F411" t="s">
        <v>111</v>
      </c>
      <c r="G411" t="s">
        <v>1202</v>
      </c>
      <c r="H411" t="s">
        <v>124</v>
      </c>
      <c r="I411" s="116">
        <f>INT(tblTransactions[[#This Row],[TransactionDate]])</f>
        <v>46248</v>
      </c>
      <c r="J411" t="str">
        <f>IF(tblTransactions[[#This Row],[ApprovalID]]="", "R2 - Missing Approval Reference", "")</f>
        <v/>
      </c>
      <c r="K411" t="str">
        <f>IF(AND(tblTransactions[[#This Row],[ApprovalID]]&lt;&gt;"",COUNTIFS(tblApprovals[TransactionID],tblTransactions[[#This Row],[TransactionID]],tblApprovals[ApprovalID],tblTransactions[[#This Row],[ApprovalID]])=0),"R3 - Missing or Mismatched Approval Record", "")</f>
        <v/>
      </c>
      <c r="L41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11" t="str">
        <f>IF(AND(tblTransactions[[#This Row],[TransactionStatus]]="Success",COUNTIF(tblSettlement[TransactionID],tblTransactions[[#This Row],[TransactionID]])=0)," R5 - Successful Transaction Not Settled", "")</f>
        <v/>
      </c>
      <c r="N411" t="str">
        <f>IF(AND(COUNTIF(tblSettlement[TransactionID],tblTransactions[[#This Row],[TransactionID]])&gt;0,tblTransactions[[#This Row],[Amount]]&lt;&gt;SUMIF(tblSettlement[TransactionID],tblTransactions[[#This Row],[TransactionID]],tblSettlement[SettledAmount]))," R6 - Settlement Amount Mismatch", "")</f>
        <v/>
      </c>
      <c r="O411" t="str">
        <f>IF(AND(tblTransactions[[#This Row],[CustomerRef]] &lt;&gt;"",COUNTIFS(tblTransactions[CustomerRef],tblTransactions[[#This Row],[CustomerRef]],tblTransactions[Amount],tblTransactions[[#This Row],[Amount]],tblTransactions[Date],tblTransactions[[#This Row],[Date]])&gt;1),"Yes","No")</f>
        <v>No</v>
      </c>
    </row>
    <row r="412" spans="1:15" x14ac:dyDescent="0.3">
      <c r="A412" t="s">
        <v>1203</v>
      </c>
      <c r="B412" s="2">
        <v>46230.488888888889</v>
      </c>
      <c r="C412" t="s">
        <v>47</v>
      </c>
      <c r="D412" t="s">
        <v>10</v>
      </c>
      <c r="E412" s="6">
        <v>5317.66</v>
      </c>
      <c r="F412" t="s">
        <v>11</v>
      </c>
      <c r="H412" t="s">
        <v>1204</v>
      </c>
      <c r="I412" s="116">
        <f>INT(tblTransactions[[#This Row],[TransactionDate]])</f>
        <v>46230</v>
      </c>
      <c r="J412" t="str">
        <f>IF(tblTransactions[[#This Row],[ApprovalID]]="", "R2 - Missing Approval Reference", "")</f>
        <v>R2 - Missing Approval Reference</v>
      </c>
      <c r="K412" t="str">
        <f>IF(AND(tblTransactions[[#This Row],[ApprovalID]]&lt;&gt;"",COUNTIFS(tblApprovals[TransactionID],tblTransactions[[#This Row],[TransactionID]],tblApprovals[ApprovalID],tblTransactions[[#This Row],[ApprovalID]])=0),"R3 - Missing or Mismatched Approval Record", "")</f>
        <v/>
      </c>
      <c r="L41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2" t="str">
        <f>IF(AND(tblTransactions[[#This Row],[TransactionStatus]]="Success",COUNTIF(tblSettlement[TransactionID],tblTransactions[[#This Row],[TransactionID]])=0)," R5 - Successful Transaction Not Settled", "")</f>
        <v/>
      </c>
      <c r="N412" t="str">
        <f>IF(AND(COUNTIF(tblSettlement[TransactionID],tblTransactions[[#This Row],[TransactionID]])&gt;0,tblTransactions[[#This Row],[Amount]]&lt;&gt;SUMIF(tblSettlement[TransactionID],tblTransactions[[#This Row],[TransactionID]],tblSettlement[SettledAmount]))," R6 - Settlement Amount Mismatch", "")</f>
        <v/>
      </c>
      <c r="O412" t="str">
        <f>IF(AND(tblTransactions[[#This Row],[CustomerRef]] &lt;&gt;"",COUNTIFS(tblTransactions[CustomerRef],tblTransactions[[#This Row],[CustomerRef]],tblTransactions[Amount],tblTransactions[[#This Row],[Amount]],tblTransactions[Date],tblTransactions[[#This Row],[Date]])&gt;1),"Yes","No")</f>
        <v>No</v>
      </c>
    </row>
    <row r="413" spans="1:15" x14ac:dyDescent="0.3">
      <c r="A413" t="s">
        <v>1205</v>
      </c>
      <c r="B413" s="2">
        <v>46257.455555555556</v>
      </c>
      <c r="C413" t="s">
        <v>24</v>
      </c>
      <c r="D413" t="s">
        <v>15</v>
      </c>
      <c r="E413" s="6">
        <v>31197.93</v>
      </c>
      <c r="F413" t="s">
        <v>111</v>
      </c>
      <c r="G413" t="s">
        <v>1206</v>
      </c>
      <c r="H413" t="s">
        <v>1207</v>
      </c>
      <c r="I413" s="116">
        <f>INT(tblTransactions[[#This Row],[TransactionDate]])</f>
        <v>46257</v>
      </c>
      <c r="J413" t="str">
        <f>IF(tblTransactions[[#This Row],[ApprovalID]]="", "R2 - Missing Approval Reference", "")</f>
        <v/>
      </c>
      <c r="K413" t="str">
        <f>IF(AND(tblTransactions[[#This Row],[ApprovalID]]&lt;&gt;"",COUNTIFS(tblApprovals[TransactionID],tblTransactions[[#This Row],[TransactionID]],tblApprovals[ApprovalID],tblTransactions[[#This Row],[ApprovalID]])=0),"R3 - Missing or Mismatched Approval Record", "")</f>
        <v/>
      </c>
      <c r="L41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3" t="str">
        <f>IF(AND(tblTransactions[[#This Row],[TransactionStatus]]="Success",COUNTIF(tblSettlement[TransactionID],tblTransactions[[#This Row],[TransactionID]])=0)," R5 - Successful Transaction Not Settled", "")</f>
        <v/>
      </c>
      <c r="N413" t="str">
        <f>IF(AND(COUNTIF(tblSettlement[TransactionID],tblTransactions[[#This Row],[TransactionID]])&gt;0,tblTransactions[[#This Row],[Amount]]&lt;&gt;SUMIF(tblSettlement[TransactionID],tblTransactions[[#This Row],[TransactionID]],tblSettlement[SettledAmount]))," R6 - Settlement Amount Mismatch", "")</f>
        <v/>
      </c>
      <c r="O413" t="str">
        <f>IF(AND(tblTransactions[[#This Row],[CustomerRef]] &lt;&gt;"",COUNTIFS(tblTransactions[CustomerRef],tblTransactions[[#This Row],[CustomerRef]],tblTransactions[Amount],tblTransactions[[#This Row],[Amount]],tblTransactions[Date],tblTransactions[[#This Row],[Date]])&gt;1),"Yes","No")</f>
        <v>No</v>
      </c>
    </row>
    <row r="414" spans="1:15" x14ac:dyDescent="0.3">
      <c r="A414" t="s">
        <v>1208</v>
      </c>
      <c r="B414" s="2">
        <v>46277.783333333333</v>
      </c>
      <c r="C414" t="s">
        <v>47</v>
      </c>
      <c r="D414" t="s">
        <v>10</v>
      </c>
      <c r="E414" s="6">
        <v>51615.24</v>
      </c>
      <c r="F414" t="s">
        <v>11</v>
      </c>
      <c r="G414" t="s">
        <v>1209</v>
      </c>
      <c r="H414" t="s">
        <v>1210</v>
      </c>
      <c r="I414" s="116">
        <f>INT(tblTransactions[[#This Row],[TransactionDate]])</f>
        <v>46277</v>
      </c>
      <c r="J414" t="str">
        <f>IF(tblTransactions[[#This Row],[ApprovalID]]="", "R2 - Missing Approval Reference", "")</f>
        <v/>
      </c>
      <c r="K414" t="str">
        <f>IF(AND(tblTransactions[[#This Row],[ApprovalID]]&lt;&gt;"",COUNTIFS(tblApprovals[TransactionID],tblTransactions[[#This Row],[TransactionID]],tblApprovals[ApprovalID],tblTransactions[[#This Row],[ApprovalID]])=0),"R3 - Missing or Mismatched Approval Record", "")</f>
        <v/>
      </c>
      <c r="L41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4" t="str">
        <f>IF(AND(tblTransactions[[#This Row],[TransactionStatus]]="Success",COUNTIF(tblSettlement[TransactionID],tblTransactions[[#This Row],[TransactionID]])=0)," R5 - Successful Transaction Not Settled", "")</f>
        <v/>
      </c>
      <c r="N414" t="str">
        <f>IF(AND(COUNTIF(tblSettlement[TransactionID],tblTransactions[[#This Row],[TransactionID]])&gt;0,tblTransactions[[#This Row],[Amount]]&lt;&gt;SUMIF(tblSettlement[TransactionID],tblTransactions[[#This Row],[TransactionID]],tblSettlement[SettledAmount]))," R6 - Settlement Amount Mismatch", "")</f>
        <v/>
      </c>
      <c r="O414" t="str">
        <f>IF(AND(tblTransactions[[#This Row],[CustomerRef]] &lt;&gt;"",COUNTIFS(tblTransactions[CustomerRef],tblTransactions[[#This Row],[CustomerRef]],tblTransactions[Amount],tblTransactions[[#This Row],[Amount]],tblTransactions[Date],tblTransactions[[#This Row],[Date]])&gt;1),"Yes","No")</f>
        <v>No</v>
      </c>
    </row>
    <row r="415" spans="1:15" x14ac:dyDescent="0.3">
      <c r="A415" t="s">
        <v>1211</v>
      </c>
      <c r="B415" s="2">
        <v>46237.37777777778</v>
      </c>
      <c r="C415" t="s">
        <v>9</v>
      </c>
      <c r="D415" t="s">
        <v>10</v>
      </c>
      <c r="E415" s="6">
        <v>25800.16</v>
      </c>
      <c r="F415" t="s">
        <v>111</v>
      </c>
      <c r="G415" t="s">
        <v>1212</v>
      </c>
      <c r="H415" t="s">
        <v>1213</v>
      </c>
      <c r="I415" s="116">
        <f>INT(tblTransactions[[#This Row],[TransactionDate]])</f>
        <v>46237</v>
      </c>
      <c r="J415" t="str">
        <f>IF(tblTransactions[[#This Row],[ApprovalID]]="", "R2 - Missing Approval Reference", "")</f>
        <v/>
      </c>
      <c r="K415" t="str">
        <f>IF(AND(tblTransactions[[#This Row],[ApprovalID]]&lt;&gt;"",COUNTIFS(tblApprovals[TransactionID],tblTransactions[[#This Row],[TransactionID]],tblApprovals[ApprovalID],tblTransactions[[#This Row],[ApprovalID]])=0),"R3 - Missing or Mismatched Approval Record", "")</f>
        <v/>
      </c>
      <c r="L41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5" t="str">
        <f>IF(AND(tblTransactions[[#This Row],[TransactionStatus]]="Success",COUNTIF(tblSettlement[TransactionID],tblTransactions[[#This Row],[TransactionID]])=0)," R5 - Successful Transaction Not Settled", "")</f>
        <v/>
      </c>
      <c r="N415" t="str">
        <f>IF(AND(COUNTIF(tblSettlement[TransactionID],tblTransactions[[#This Row],[TransactionID]])&gt;0,tblTransactions[[#This Row],[Amount]]&lt;&gt;SUMIF(tblSettlement[TransactionID],tblTransactions[[#This Row],[TransactionID]],tblSettlement[SettledAmount]))," R6 - Settlement Amount Mismatch", "")</f>
        <v/>
      </c>
      <c r="O415" t="str">
        <f>IF(AND(tblTransactions[[#This Row],[CustomerRef]] &lt;&gt;"",COUNTIFS(tblTransactions[CustomerRef],tblTransactions[[#This Row],[CustomerRef]],tblTransactions[Amount],tblTransactions[[#This Row],[Amount]],tblTransactions[Date],tblTransactions[[#This Row],[Date]])&gt;1),"Yes","No")</f>
        <v>No</v>
      </c>
    </row>
    <row r="416" spans="1:15" x14ac:dyDescent="0.3">
      <c r="A416" t="s">
        <v>1214</v>
      </c>
      <c r="B416" s="2">
        <v>46247.73541666667</v>
      </c>
      <c r="C416" t="s">
        <v>43</v>
      </c>
      <c r="D416" t="s">
        <v>69</v>
      </c>
      <c r="E416" s="6">
        <v>67018.66</v>
      </c>
      <c r="F416" t="s">
        <v>11</v>
      </c>
      <c r="G416" t="s">
        <v>1215</v>
      </c>
      <c r="H416" t="s">
        <v>1216</v>
      </c>
      <c r="I416" s="116">
        <f>INT(tblTransactions[[#This Row],[TransactionDate]])</f>
        <v>46247</v>
      </c>
      <c r="J416" t="str">
        <f>IF(tblTransactions[[#This Row],[ApprovalID]]="", "R2 - Missing Approval Reference", "")</f>
        <v/>
      </c>
      <c r="K416" t="str">
        <f>IF(AND(tblTransactions[[#This Row],[ApprovalID]]&lt;&gt;"",COUNTIFS(tblApprovals[TransactionID],tblTransactions[[#This Row],[TransactionID]],tblApprovals[ApprovalID],tblTransactions[[#This Row],[ApprovalID]])=0),"R3 - Missing or Mismatched Approval Record", "")</f>
        <v/>
      </c>
      <c r="L41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6" t="str">
        <f>IF(AND(tblTransactions[[#This Row],[TransactionStatus]]="Success",COUNTIF(tblSettlement[TransactionID],tblTransactions[[#This Row],[TransactionID]])=0)," R5 - Successful Transaction Not Settled", "")</f>
        <v/>
      </c>
      <c r="N416" t="str">
        <f>IF(AND(COUNTIF(tblSettlement[TransactionID],tblTransactions[[#This Row],[TransactionID]])&gt;0,tblTransactions[[#This Row],[Amount]]&lt;&gt;SUMIF(tblSettlement[TransactionID],tblTransactions[[#This Row],[TransactionID]],tblSettlement[SettledAmount]))," R6 - Settlement Amount Mismatch", "")</f>
        <v/>
      </c>
      <c r="O416" t="str">
        <f>IF(AND(tblTransactions[[#This Row],[CustomerRef]] &lt;&gt;"",COUNTIFS(tblTransactions[CustomerRef],tblTransactions[[#This Row],[CustomerRef]],tblTransactions[Amount],tblTransactions[[#This Row],[Amount]],tblTransactions[Date],tblTransactions[[#This Row],[Date]])&gt;1),"Yes","No")</f>
        <v>No</v>
      </c>
    </row>
    <row r="417" spans="1:15" x14ac:dyDescent="0.3">
      <c r="A417" t="s">
        <v>1217</v>
      </c>
      <c r="B417" s="2">
        <v>46224.337500000001</v>
      </c>
      <c r="C417" t="s">
        <v>43</v>
      </c>
      <c r="D417" t="s">
        <v>15</v>
      </c>
      <c r="E417" s="6">
        <v>24999.32</v>
      </c>
      <c r="F417" t="s">
        <v>36</v>
      </c>
      <c r="G417" t="s">
        <v>1218</v>
      </c>
      <c r="H417" t="s">
        <v>1219</v>
      </c>
      <c r="I417" s="116">
        <f>INT(tblTransactions[[#This Row],[TransactionDate]])</f>
        <v>46224</v>
      </c>
      <c r="J417" t="str">
        <f>IF(tblTransactions[[#This Row],[ApprovalID]]="", "R2 - Missing Approval Reference", "")</f>
        <v/>
      </c>
      <c r="K417" t="str">
        <f>IF(AND(tblTransactions[[#This Row],[ApprovalID]]&lt;&gt;"",COUNTIFS(tblApprovals[TransactionID],tblTransactions[[#This Row],[TransactionID]],tblApprovals[ApprovalID],tblTransactions[[#This Row],[ApprovalID]])=0),"R3 - Missing or Mismatched Approval Record", "")</f>
        <v/>
      </c>
      <c r="L41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17" t="str">
        <f>IF(AND(tblTransactions[[#This Row],[TransactionStatus]]="Success",COUNTIF(tblSettlement[TransactionID],tblTransactions[[#This Row],[TransactionID]])=0)," R5 - Successful Transaction Not Settled", "")</f>
        <v/>
      </c>
      <c r="N417" t="str">
        <f>IF(AND(COUNTIF(tblSettlement[TransactionID],tblTransactions[[#This Row],[TransactionID]])&gt;0,tblTransactions[[#This Row],[Amount]]&lt;&gt;SUMIF(tblSettlement[TransactionID],tblTransactions[[#This Row],[TransactionID]],tblSettlement[SettledAmount]))," R6 - Settlement Amount Mismatch", "")</f>
        <v/>
      </c>
      <c r="O417" t="str">
        <f>IF(AND(tblTransactions[[#This Row],[CustomerRef]] &lt;&gt;"",COUNTIFS(tblTransactions[CustomerRef],tblTransactions[[#This Row],[CustomerRef]],tblTransactions[Amount],tblTransactions[[#This Row],[Amount]],tblTransactions[Date],tblTransactions[[#This Row],[Date]])&gt;1),"Yes","No")</f>
        <v>No</v>
      </c>
    </row>
    <row r="418" spans="1:15" x14ac:dyDescent="0.3">
      <c r="A418" t="s">
        <v>1220</v>
      </c>
      <c r="B418" s="2">
        <v>46237.762499999997</v>
      </c>
      <c r="C418" t="s">
        <v>43</v>
      </c>
      <c r="D418" t="s">
        <v>15</v>
      </c>
      <c r="E418" s="6">
        <v>22480.7</v>
      </c>
      <c r="F418" t="s">
        <v>11</v>
      </c>
      <c r="G418" t="s">
        <v>1221</v>
      </c>
      <c r="H418" t="s">
        <v>1222</v>
      </c>
      <c r="I418" s="116">
        <f>INT(tblTransactions[[#This Row],[TransactionDate]])</f>
        <v>46237</v>
      </c>
      <c r="J418" t="str">
        <f>IF(tblTransactions[[#This Row],[ApprovalID]]="", "R2 - Missing Approval Reference", "")</f>
        <v/>
      </c>
      <c r="K418" t="str">
        <f>IF(AND(tblTransactions[[#This Row],[ApprovalID]]&lt;&gt;"",COUNTIFS(tblApprovals[TransactionID],tblTransactions[[#This Row],[TransactionID]],tblApprovals[ApprovalID],tblTransactions[[#This Row],[ApprovalID]])=0),"R3 - Missing or Mismatched Approval Record", "")</f>
        <v/>
      </c>
      <c r="L41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8" t="str">
        <f>IF(AND(tblTransactions[[#This Row],[TransactionStatus]]="Success",COUNTIF(tblSettlement[TransactionID],tblTransactions[[#This Row],[TransactionID]])=0)," R5 - Successful Transaction Not Settled", "")</f>
        <v/>
      </c>
      <c r="N418" t="str">
        <f>IF(AND(COUNTIF(tblSettlement[TransactionID],tblTransactions[[#This Row],[TransactionID]])&gt;0,tblTransactions[[#This Row],[Amount]]&lt;&gt;SUMIF(tblSettlement[TransactionID],tblTransactions[[#This Row],[TransactionID]],tblSettlement[SettledAmount]))," R6 - Settlement Amount Mismatch", "")</f>
        <v/>
      </c>
      <c r="O418" t="str">
        <f>IF(AND(tblTransactions[[#This Row],[CustomerRef]] &lt;&gt;"",COUNTIFS(tblTransactions[CustomerRef],tblTransactions[[#This Row],[CustomerRef]],tblTransactions[Amount],tblTransactions[[#This Row],[Amount]],tblTransactions[Date],tblTransactions[[#This Row],[Date]])&gt;1),"Yes","No")</f>
        <v>No</v>
      </c>
    </row>
    <row r="419" spans="1:15" x14ac:dyDescent="0.3">
      <c r="A419" t="s">
        <v>1223</v>
      </c>
      <c r="B419" s="2">
        <v>46223.349305555559</v>
      </c>
      <c r="C419" t="s">
        <v>28</v>
      </c>
      <c r="D419" t="s">
        <v>15</v>
      </c>
      <c r="E419" s="6">
        <v>535.21</v>
      </c>
      <c r="F419" t="s">
        <v>11</v>
      </c>
      <c r="G419" t="s">
        <v>1224</v>
      </c>
      <c r="H419" t="s">
        <v>1225</v>
      </c>
      <c r="I419" s="116">
        <f>INT(tblTransactions[[#This Row],[TransactionDate]])</f>
        <v>46223</v>
      </c>
      <c r="J419" t="str">
        <f>IF(tblTransactions[[#This Row],[ApprovalID]]="", "R2 - Missing Approval Reference", "")</f>
        <v/>
      </c>
      <c r="K419" t="str">
        <f>IF(AND(tblTransactions[[#This Row],[ApprovalID]]&lt;&gt;"",COUNTIFS(tblApprovals[TransactionID],tblTransactions[[#This Row],[TransactionID]],tblApprovals[ApprovalID],tblTransactions[[#This Row],[ApprovalID]])=0),"R3 - Missing or Mismatched Approval Record", "")</f>
        <v/>
      </c>
      <c r="L41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19" t="str">
        <f>IF(AND(tblTransactions[[#This Row],[TransactionStatus]]="Success",COUNTIF(tblSettlement[TransactionID],tblTransactions[[#This Row],[TransactionID]])=0)," R5 - Successful Transaction Not Settled", "")</f>
        <v/>
      </c>
      <c r="N419" t="str">
        <f>IF(AND(COUNTIF(tblSettlement[TransactionID],tblTransactions[[#This Row],[TransactionID]])&gt;0,tblTransactions[[#This Row],[Amount]]&lt;&gt;SUMIF(tblSettlement[TransactionID],tblTransactions[[#This Row],[TransactionID]],tblSettlement[SettledAmount]))," R6 - Settlement Amount Mismatch", "")</f>
        <v/>
      </c>
      <c r="O419" t="str">
        <f>IF(AND(tblTransactions[[#This Row],[CustomerRef]] &lt;&gt;"",COUNTIFS(tblTransactions[CustomerRef],tblTransactions[[#This Row],[CustomerRef]],tblTransactions[Amount],tblTransactions[[#This Row],[Amount]],tblTransactions[Date],tblTransactions[[#This Row],[Date]])&gt;1),"Yes","No")</f>
        <v>No</v>
      </c>
    </row>
    <row r="420" spans="1:15" x14ac:dyDescent="0.3">
      <c r="A420" t="s">
        <v>1226</v>
      </c>
      <c r="B420" s="2">
        <v>46207.465277777781</v>
      </c>
      <c r="C420" t="s">
        <v>43</v>
      </c>
      <c r="D420" t="s">
        <v>10</v>
      </c>
      <c r="E420" s="6">
        <v>47954.75</v>
      </c>
      <c r="F420" t="s">
        <v>36</v>
      </c>
      <c r="G420" t="s">
        <v>1227</v>
      </c>
      <c r="H420" t="s">
        <v>1228</v>
      </c>
      <c r="I420" s="116">
        <f>INT(tblTransactions[[#This Row],[TransactionDate]])</f>
        <v>46207</v>
      </c>
      <c r="J420" t="str">
        <f>IF(tblTransactions[[#This Row],[ApprovalID]]="", "R2 - Missing Approval Reference", "")</f>
        <v/>
      </c>
      <c r="K420" t="str">
        <f>IF(AND(tblTransactions[[#This Row],[ApprovalID]]&lt;&gt;"",COUNTIFS(tblApprovals[TransactionID],tblTransactions[[#This Row],[TransactionID]],tblApprovals[ApprovalID],tblTransactions[[#This Row],[ApprovalID]])=0),"R3 - Missing or Mismatched Approval Record", "")</f>
        <v/>
      </c>
      <c r="L42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0" t="str">
        <f>IF(AND(tblTransactions[[#This Row],[TransactionStatus]]="Success",COUNTIF(tblSettlement[TransactionID],tblTransactions[[#This Row],[TransactionID]])=0)," R5 - Successful Transaction Not Settled", "")</f>
        <v/>
      </c>
      <c r="N420" t="str">
        <f>IF(AND(COUNTIF(tblSettlement[TransactionID],tblTransactions[[#This Row],[TransactionID]])&gt;0,tblTransactions[[#This Row],[Amount]]&lt;&gt;SUMIF(tblSettlement[TransactionID],tblTransactions[[#This Row],[TransactionID]],tblSettlement[SettledAmount]))," R6 - Settlement Amount Mismatch", "")</f>
        <v/>
      </c>
      <c r="O420" t="str">
        <f>IF(AND(tblTransactions[[#This Row],[CustomerRef]] &lt;&gt;"",COUNTIFS(tblTransactions[CustomerRef],tblTransactions[[#This Row],[CustomerRef]],tblTransactions[Amount],tblTransactions[[#This Row],[Amount]],tblTransactions[Date],tblTransactions[[#This Row],[Date]])&gt;1),"Yes","No")</f>
        <v>No</v>
      </c>
    </row>
    <row r="421" spans="1:15" x14ac:dyDescent="0.3">
      <c r="A421" t="s">
        <v>1229</v>
      </c>
      <c r="B421" s="2">
        <v>46264.664583333331</v>
      </c>
      <c r="C421" t="s">
        <v>19</v>
      </c>
      <c r="D421" t="s">
        <v>29</v>
      </c>
      <c r="E421" s="6">
        <v>49662.74</v>
      </c>
      <c r="F421" t="s">
        <v>11</v>
      </c>
      <c r="G421" t="s">
        <v>1230</v>
      </c>
      <c r="H421" t="s">
        <v>1231</v>
      </c>
      <c r="I421" s="116">
        <f>INT(tblTransactions[[#This Row],[TransactionDate]])</f>
        <v>46264</v>
      </c>
      <c r="J421" t="str">
        <f>IF(tblTransactions[[#This Row],[ApprovalID]]="", "R2 - Missing Approval Reference", "")</f>
        <v/>
      </c>
      <c r="K421" t="str">
        <f>IF(AND(tblTransactions[[#This Row],[ApprovalID]]&lt;&gt;"",COUNTIFS(tblApprovals[TransactionID],tblTransactions[[#This Row],[TransactionID]],tblApprovals[ApprovalID],tblTransactions[[#This Row],[ApprovalID]])=0),"R3 - Missing or Mismatched Approval Record", "")</f>
        <v/>
      </c>
      <c r="L42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1" t="str">
        <f>IF(AND(tblTransactions[[#This Row],[TransactionStatus]]="Success",COUNTIF(tblSettlement[TransactionID],tblTransactions[[#This Row],[TransactionID]])=0)," R5 - Successful Transaction Not Settled", "")</f>
        <v/>
      </c>
      <c r="N421" t="str">
        <f>IF(AND(COUNTIF(tblSettlement[TransactionID],tblTransactions[[#This Row],[TransactionID]])&gt;0,tblTransactions[[#This Row],[Amount]]&lt;&gt;SUMIF(tblSettlement[TransactionID],tblTransactions[[#This Row],[TransactionID]],tblSettlement[SettledAmount]))," R6 - Settlement Amount Mismatch", "")</f>
        <v/>
      </c>
      <c r="O421" t="str">
        <f>IF(AND(tblTransactions[[#This Row],[CustomerRef]] &lt;&gt;"",COUNTIFS(tblTransactions[CustomerRef],tblTransactions[[#This Row],[CustomerRef]],tblTransactions[Amount],tblTransactions[[#This Row],[Amount]],tblTransactions[Date],tblTransactions[[#This Row],[Date]])&gt;1),"Yes","No")</f>
        <v>No</v>
      </c>
    </row>
    <row r="422" spans="1:15" x14ac:dyDescent="0.3">
      <c r="A422" t="s">
        <v>1232</v>
      </c>
      <c r="B422" s="2">
        <v>46251.436111111114</v>
      </c>
      <c r="C422" t="s">
        <v>24</v>
      </c>
      <c r="D422" t="s">
        <v>69</v>
      </c>
      <c r="E422" s="6">
        <v>3585.12</v>
      </c>
      <c r="F422" t="s">
        <v>11</v>
      </c>
      <c r="G422" t="s">
        <v>1233</v>
      </c>
      <c r="H422" t="s">
        <v>1234</v>
      </c>
      <c r="I422" s="116">
        <f>INT(tblTransactions[[#This Row],[TransactionDate]])</f>
        <v>46251</v>
      </c>
      <c r="J422" t="str">
        <f>IF(tblTransactions[[#This Row],[ApprovalID]]="", "R2 - Missing Approval Reference", "")</f>
        <v/>
      </c>
      <c r="K422" t="str">
        <f>IF(AND(tblTransactions[[#This Row],[ApprovalID]]&lt;&gt;"",COUNTIFS(tblApprovals[TransactionID],tblTransactions[[#This Row],[TransactionID]],tblApprovals[ApprovalID],tblTransactions[[#This Row],[ApprovalID]])=0),"R3 - Missing or Mismatched Approval Record", "")</f>
        <v/>
      </c>
      <c r="L42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2" t="str">
        <f>IF(AND(tblTransactions[[#This Row],[TransactionStatus]]="Success",COUNTIF(tblSettlement[TransactionID],tblTransactions[[#This Row],[TransactionID]])=0)," R5 - Successful Transaction Not Settled", "")</f>
        <v/>
      </c>
      <c r="N422"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422" t="str">
        <f>IF(AND(tblTransactions[[#This Row],[CustomerRef]] &lt;&gt;"",COUNTIFS(tblTransactions[CustomerRef],tblTransactions[[#This Row],[CustomerRef]],tblTransactions[Amount],tblTransactions[[#This Row],[Amount]],tblTransactions[Date],tblTransactions[[#This Row],[Date]])&gt;1),"Yes","No")</f>
        <v>No</v>
      </c>
    </row>
    <row r="423" spans="1:15" x14ac:dyDescent="0.3">
      <c r="A423" t="s">
        <v>1235</v>
      </c>
      <c r="B423" s="2">
        <v>46223.863888888889</v>
      </c>
      <c r="C423" t="s">
        <v>24</v>
      </c>
      <c r="D423" t="s">
        <v>15</v>
      </c>
      <c r="E423" s="6">
        <v>50143.27</v>
      </c>
      <c r="F423" t="s">
        <v>11</v>
      </c>
      <c r="G423" t="s">
        <v>1236</v>
      </c>
      <c r="H423" t="s">
        <v>1237</v>
      </c>
      <c r="I423" s="116">
        <f>INT(tblTransactions[[#This Row],[TransactionDate]])</f>
        <v>46223</v>
      </c>
      <c r="J423" t="str">
        <f>IF(tblTransactions[[#This Row],[ApprovalID]]="", "R2 - Missing Approval Reference", "")</f>
        <v/>
      </c>
      <c r="K423" t="str">
        <f>IF(AND(tblTransactions[[#This Row],[ApprovalID]]&lt;&gt;"",COUNTIFS(tblApprovals[TransactionID],tblTransactions[[#This Row],[TransactionID]],tblApprovals[ApprovalID],tblTransactions[[#This Row],[ApprovalID]])=0),"R3 - Missing or Mismatched Approval Record", "")</f>
        <v/>
      </c>
      <c r="L42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3" t="str">
        <f>IF(AND(tblTransactions[[#This Row],[TransactionStatus]]="Success",COUNTIF(tblSettlement[TransactionID],tblTransactions[[#This Row],[TransactionID]])=0)," R5 - Successful Transaction Not Settled", "")</f>
        <v/>
      </c>
      <c r="N423" t="str">
        <f>IF(AND(COUNTIF(tblSettlement[TransactionID],tblTransactions[[#This Row],[TransactionID]])&gt;0,tblTransactions[[#This Row],[Amount]]&lt;&gt;SUMIF(tblSettlement[TransactionID],tblTransactions[[#This Row],[TransactionID]],tblSettlement[SettledAmount]))," R6 - Settlement Amount Mismatch", "")</f>
        <v/>
      </c>
      <c r="O423" t="str">
        <f>IF(AND(tblTransactions[[#This Row],[CustomerRef]] &lt;&gt;"",COUNTIFS(tblTransactions[CustomerRef],tblTransactions[[#This Row],[CustomerRef]],tblTransactions[Amount],tblTransactions[[#This Row],[Amount]],tblTransactions[Date],tblTransactions[[#This Row],[Date]])&gt;1),"Yes","No")</f>
        <v>No</v>
      </c>
    </row>
    <row r="424" spans="1:15" x14ac:dyDescent="0.3">
      <c r="A424" t="s">
        <v>1238</v>
      </c>
      <c r="B424" s="2">
        <v>46274.370138888888</v>
      </c>
      <c r="C424" t="s">
        <v>19</v>
      </c>
      <c r="D424" t="s">
        <v>29</v>
      </c>
      <c r="E424" s="6">
        <v>29186.18</v>
      </c>
      <c r="F424" t="s">
        <v>11</v>
      </c>
      <c r="G424" t="s">
        <v>1239</v>
      </c>
      <c r="H424" t="s">
        <v>1240</v>
      </c>
      <c r="I424" s="116">
        <f>INT(tblTransactions[[#This Row],[TransactionDate]])</f>
        <v>46274</v>
      </c>
      <c r="J424" t="str">
        <f>IF(tblTransactions[[#This Row],[ApprovalID]]="", "R2 - Missing Approval Reference", "")</f>
        <v/>
      </c>
      <c r="K424" t="str">
        <f>IF(AND(tblTransactions[[#This Row],[ApprovalID]]&lt;&gt;"",COUNTIFS(tblApprovals[TransactionID],tblTransactions[[#This Row],[TransactionID]],tblApprovals[ApprovalID],tblTransactions[[#This Row],[ApprovalID]])=0),"R3 - Missing or Mismatched Approval Record", "")</f>
        <v/>
      </c>
      <c r="L42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4" t="str">
        <f>IF(AND(tblTransactions[[#This Row],[TransactionStatus]]="Success",COUNTIF(tblSettlement[TransactionID],tblTransactions[[#This Row],[TransactionID]])=0)," R5 - Successful Transaction Not Settled", "")</f>
        <v/>
      </c>
      <c r="N424" t="str">
        <f>IF(AND(COUNTIF(tblSettlement[TransactionID],tblTransactions[[#This Row],[TransactionID]])&gt;0,tblTransactions[[#This Row],[Amount]]&lt;&gt;SUMIF(tblSettlement[TransactionID],tblTransactions[[#This Row],[TransactionID]],tblSettlement[SettledAmount]))," R6 - Settlement Amount Mismatch", "")</f>
        <v/>
      </c>
      <c r="O424" t="str">
        <f>IF(AND(tblTransactions[[#This Row],[CustomerRef]] &lt;&gt;"",COUNTIFS(tblTransactions[CustomerRef],tblTransactions[[#This Row],[CustomerRef]],tblTransactions[Amount],tblTransactions[[#This Row],[Amount]],tblTransactions[Date],tblTransactions[[#This Row],[Date]])&gt;1),"Yes","No")</f>
        <v>No</v>
      </c>
    </row>
    <row r="425" spans="1:15" x14ac:dyDescent="0.3">
      <c r="A425" t="s">
        <v>1241</v>
      </c>
      <c r="B425" s="2">
        <v>46264.503472222219</v>
      </c>
      <c r="C425" t="s">
        <v>47</v>
      </c>
      <c r="D425" t="s">
        <v>15</v>
      </c>
      <c r="E425" s="6">
        <v>29761.63</v>
      </c>
      <c r="F425" t="s">
        <v>11</v>
      </c>
      <c r="G425" t="s">
        <v>1242</v>
      </c>
      <c r="H425" t="s">
        <v>1243</v>
      </c>
      <c r="I425" s="116">
        <f>INT(tblTransactions[[#This Row],[TransactionDate]])</f>
        <v>46264</v>
      </c>
      <c r="J425" t="str">
        <f>IF(tblTransactions[[#This Row],[ApprovalID]]="", "R2 - Missing Approval Reference", "")</f>
        <v/>
      </c>
      <c r="K425" t="str">
        <f>IF(AND(tblTransactions[[#This Row],[ApprovalID]]&lt;&gt;"",COUNTIFS(tblApprovals[TransactionID],tblTransactions[[#This Row],[TransactionID]],tblApprovals[ApprovalID],tblTransactions[[#This Row],[ApprovalID]])=0),"R3 - Missing or Mismatched Approval Record", "")</f>
        <v/>
      </c>
      <c r="L42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5" t="str">
        <f>IF(AND(tblTransactions[[#This Row],[TransactionStatus]]="Success",COUNTIF(tblSettlement[TransactionID],tblTransactions[[#This Row],[TransactionID]])=0)," R5 - Successful Transaction Not Settled", "")</f>
        <v/>
      </c>
      <c r="N425" t="str">
        <f>IF(AND(COUNTIF(tblSettlement[TransactionID],tblTransactions[[#This Row],[TransactionID]])&gt;0,tblTransactions[[#This Row],[Amount]]&lt;&gt;SUMIF(tblSettlement[TransactionID],tblTransactions[[#This Row],[TransactionID]],tblSettlement[SettledAmount]))," R6 - Settlement Amount Mismatch", "")</f>
        <v/>
      </c>
      <c r="O425" t="str">
        <f>IF(AND(tblTransactions[[#This Row],[CustomerRef]] &lt;&gt;"",COUNTIFS(tblTransactions[CustomerRef],tblTransactions[[#This Row],[CustomerRef]],tblTransactions[Amount],tblTransactions[[#This Row],[Amount]],tblTransactions[Date],tblTransactions[[#This Row],[Date]])&gt;1),"Yes","No")</f>
        <v>No</v>
      </c>
    </row>
    <row r="426" spans="1:15" x14ac:dyDescent="0.3">
      <c r="A426" t="s">
        <v>1244</v>
      </c>
      <c r="B426" s="2">
        <v>46277.777083333334</v>
      </c>
      <c r="C426" t="s">
        <v>43</v>
      </c>
      <c r="D426" t="s">
        <v>69</v>
      </c>
      <c r="E426" s="6">
        <v>11271.71</v>
      </c>
      <c r="F426" t="s">
        <v>111</v>
      </c>
      <c r="G426" t="s">
        <v>1245</v>
      </c>
      <c r="H426" t="s">
        <v>1246</v>
      </c>
      <c r="I426" s="116">
        <f>INT(tblTransactions[[#This Row],[TransactionDate]])</f>
        <v>46277</v>
      </c>
      <c r="J426" t="str">
        <f>IF(tblTransactions[[#This Row],[ApprovalID]]="", "R2 - Missing Approval Reference", "")</f>
        <v/>
      </c>
      <c r="K426" t="str">
        <f>IF(AND(tblTransactions[[#This Row],[ApprovalID]]&lt;&gt;"",COUNTIFS(tblApprovals[TransactionID],tblTransactions[[#This Row],[TransactionID]],tblApprovals[ApprovalID],tblTransactions[[#This Row],[ApprovalID]])=0),"R3 - Missing or Mismatched Approval Record", "")</f>
        <v/>
      </c>
      <c r="L42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6" t="str">
        <f>IF(AND(tblTransactions[[#This Row],[TransactionStatus]]="Success",COUNTIF(tblSettlement[TransactionID],tblTransactions[[#This Row],[TransactionID]])=0)," R5 - Successful Transaction Not Settled", "")</f>
        <v/>
      </c>
      <c r="N426" t="str">
        <f>IF(AND(COUNTIF(tblSettlement[TransactionID],tblTransactions[[#This Row],[TransactionID]])&gt;0,tblTransactions[[#This Row],[Amount]]&lt;&gt;SUMIF(tblSettlement[TransactionID],tblTransactions[[#This Row],[TransactionID]],tblSettlement[SettledAmount]))," R6 - Settlement Amount Mismatch", "")</f>
        <v/>
      </c>
      <c r="O426" t="str">
        <f>IF(AND(tblTransactions[[#This Row],[CustomerRef]] &lt;&gt;"",COUNTIFS(tblTransactions[CustomerRef],tblTransactions[[#This Row],[CustomerRef]],tblTransactions[Amount],tblTransactions[[#This Row],[Amount]],tblTransactions[Date],tblTransactions[[#This Row],[Date]])&gt;1),"Yes","No")</f>
        <v>No</v>
      </c>
    </row>
    <row r="427" spans="1:15" x14ac:dyDescent="0.3">
      <c r="A427" t="s">
        <v>1247</v>
      </c>
      <c r="B427" s="2">
        <v>46231.841666666667</v>
      </c>
      <c r="C427" t="s">
        <v>28</v>
      </c>
      <c r="D427" t="s">
        <v>29</v>
      </c>
      <c r="E427" s="6">
        <v>9682.4</v>
      </c>
      <c r="F427" t="s">
        <v>11</v>
      </c>
      <c r="G427" t="s">
        <v>1248</v>
      </c>
      <c r="H427" t="s">
        <v>1249</v>
      </c>
      <c r="I427" s="116">
        <f>INT(tblTransactions[[#This Row],[TransactionDate]])</f>
        <v>46231</v>
      </c>
      <c r="J427" t="str">
        <f>IF(tblTransactions[[#This Row],[ApprovalID]]="", "R2 - Missing Approval Reference", "")</f>
        <v/>
      </c>
      <c r="K427" t="str">
        <f>IF(AND(tblTransactions[[#This Row],[ApprovalID]]&lt;&gt;"",COUNTIFS(tblApprovals[TransactionID],tblTransactions[[#This Row],[TransactionID]],tblApprovals[ApprovalID],tblTransactions[[#This Row],[ApprovalID]])=0),"R3 - Missing or Mismatched Approval Record", "")</f>
        <v/>
      </c>
      <c r="L42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7" t="str">
        <f>IF(AND(tblTransactions[[#This Row],[TransactionStatus]]="Success",COUNTIF(tblSettlement[TransactionID],tblTransactions[[#This Row],[TransactionID]])=0)," R5 - Successful Transaction Not Settled", "")</f>
        <v/>
      </c>
      <c r="N427" t="str">
        <f>IF(AND(COUNTIF(tblSettlement[TransactionID],tblTransactions[[#This Row],[TransactionID]])&gt;0,tblTransactions[[#This Row],[Amount]]&lt;&gt;SUMIF(tblSettlement[TransactionID],tblTransactions[[#This Row],[TransactionID]],tblSettlement[SettledAmount]))," R6 - Settlement Amount Mismatch", "")</f>
        <v/>
      </c>
      <c r="O427" t="str">
        <f>IF(AND(tblTransactions[[#This Row],[CustomerRef]] &lt;&gt;"",COUNTIFS(tblTransactions[CustomerRef],tblTransactions[[#This Row],[CustomerRef]],tblTransactions[Amount],tblTransactions[[#This Row],[Amount]],tblTransactions[Date],tblTransactions[[#This Row],[Date]])&gt;1),"Yes","No")</f>
        <v>No</v>
      </c>
    </row>
    <row r="428" spans="1:15" x14ac:dyDescent="0.3">
      <c r="A428" t="s">
        <v>1250</v>
      </c>
      <c r="B428" s="2">
        <v>46280.513888888891</v>
      </c>
      <c r="C428" t="s">
        <v>47</v>
      </c>
      <c r="D428" t="s">
        <v>10</v>
      </c>
      <c r="E428" s="6">
        <v>68332.639999999999</v>
      </c>
      <c r="F428" t="s">
        <v>111</v>
      </c>
      <c r="G428" t="s">
        <v>1251</v>
      </c>
      <c r="H428" t="s">
        <v>1252</v>
      </c>
      <c r="I428" s="116">
        <f>INT(tblTransactions[[#This Row],[TransactionDate]])</f>
        <v>46280</v>
      </c>
      <c r="J428" t="str">
        <f>IF(tblTransactions[[#This Row],[ApprovalID]]="", "R2 - Missing Approval Reference", "")</f>
        <v/>
      </c>
      <c r="K428" t="str">
        <f>IF(AND(tblTransactions[[#This Row],[ApprovalID]]&lt;&gt;"",COUNTIFS(tblApprovals[TransactionID],tblTransactions[[#This Row],[TransactionID]],tblApprovals[ApprovalID],tblTransactions[[#This Row],[ApprovalID]])=0),"R3 - Missing or Mismatched Approval Record", "")</f>
        <v/>
      </c>
      <c r="L42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8" t="str">
        <f>IF(AND(tblTransactions[[#This Row],[TransactionStatus]]="Success",COUNTIF(tblSettlement[TransactionID],tblTransactions[[#This Row],[TransactionID]])=0)," R5 - Successful Transaction Not Settled", "")</f>
        <v/>
      </c>
      <c r="N428" t="str">
        <f>IF(AND(COUNTIF(tblSettlement[TransactionID],tblTransactions[[#This Row],[TransactionID]])&gt;0,tblTransactions[[#This Row],[Amount]]&lt;&gt;SUMIF(tblSettlement[TransactionID],tblTransactions[[#This Row],[TransactionID]],tblSettlement[SettledAmount]))," R6 - Settlement Amount Mismatch", "")</f>
        <v/>
      </c>
      <c r="O428" t="str">
        <f>IF(AND(tblTransactions[[#This Row],[CustomerRef]] &lt;&gt;"",COUNTIFS(tblTransactions[CustomerRef],tblTransactions[[#This Row],[CustomerRef]],tblTransactions[Amount],tblTransactions[[#This Row],[Amount]],tblTransactions[Date],tblTransactions[[#This Row],[Date]])&gt;1),"Yes","No")</f>
        <v>No</v>
      </c>
    </row>
    <row r="429" spans="1:15" x14ac:dyDescent="0.3">
      <c r="A429" t="s">
        <v>1253</v>
      </c>
      <c r="B429" s="2">
        <v>46274.57916666667</v>
      </c>
      <c r="C429" t="s">
        <v>47</v>
      </c>
      <c r="D429" t="s">
        <v>15</v>
      </c>
      <c r="E429" s="6">
        <v>20896.009999999998</v>
      </c>
      <c r="F429" t="s">
        <v>11</v>
      </c>
      <c r="G429" t="s">
        <v>1254</v>
      </c>
      <c r="H429" t="s">
        <v>1255</v>
      </c>
      <c r="I429" s="116">
        <f>INT(tblTransactions[[#This Row],[TransactionDate]])</f>
        <v>46274</v>
      </c>
      <c r="J429" t="str">
        <f>IF(tblTransactions[[#This Row],[ApprovalID]]="", "R2 - Missing Approval Reference", "")</f>
        <v/>
      </c>
      <c r="K429" t="str">
        <f>IF(AND(tblTransactions[[#This Row],[ApprovalID]]&lt;&gt;"",COUNTIFS(tblApprovals[TransactionID],tblTransactions[[#This Row],[TransactionID]],tblApprovals[ApprovalID],tblTransactions[[#This Row],[ApprovalID]])=0),"R3 - Missing or Mismatched Approval Record", "")</f>
        <v/>
      </c>
      <c r="L42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29" t="str">
        <f>IF(AND(tblTransactions[[#This Row],[TransactionStatus]]="Success",COUNTIF(tblSettlement[TransactionID],tblTransactions[[#This Row],[TransactionID]])=0)," R5 - Successful Transaction Not Settled", "")</f>
        <v/>
      </c>
      <c r="N429" t="str">
        <f>IF(AND(COUNTIF(tblSettlement[TransactionID],tblTransactions[[#This Row],[TransactionID]])&gt;0,tblTransactions[[#This Row],[Amount]]&lt;&gt;SUMIF(tblSettlement[TransactionID],tblTransactions[[#This Row],[TransactionID]],tblSettlement[SettledAmount]))," R6 - Settlement Amount Mismatch", "")</f>
        <v/>
      </c>
      <c r="O429" t="str">
        <f>IF(AND(tblTransactions[[#This Row],[CustomerRef]] &lt;&gt;"",COUNTIFS(tblTransactions[CustomerRef],tblTransactions[[#This Row],[CustomerRef]],tblTransactions[Amount],tblTransactions[[#This Row],[Amount]],tblTransactions[Date],tblTransactions[[#This Row],[Date]])&gt;1),"Yes","No")</f>
        <v>No</v>
      </c>
    </row>
    <row r="430" spans="1:15" x14ac:dyDescent="0.3">
      <c r="A430" t="s">
        <v>1256</v>
      </c>
      <c r="B430" s="2">
        <v>46218.589583333334</v>
      </c>
      <c r="C430" t="s">
        <v>47</v>
      </c>
      <c r="D430" t="s">
        <v>10</v>
      </c>
      <c r="E430" s="6">
        <v>11327.93</v>
      </c>
      <c r="F430" t="s">
        <v>11</v>
      </c>
      <c r="G430" t="s">
        <v>1257</v>
      </c>
      <c r="H430" t="s">
        <v>1258</v>
      </c>
      <c r="I430" s="116">
        <f>INT(tblTransactions[[#This Row],[TransactionDate]])</f>
        <v>46218</v>
      </c>
      <c r="J430" t="str">
        <f>IF(tblTransactions[[#This Row],[ApprovalID]]="", "R2 - Missing Approval Reference", "")</f>
        <v/>
      </c>
      <c r="K430" t="str">
        <f>IF(AND(tblTransactions[[#This Row],[ApprovalID]]&lt;&gt;"",COUNTIFS(tblApprovals[TransactionID],tblTransactions[[#This Row],[TransactionID]],tblApprovals[ApprovalID],tblTransactions[[#This Row],[ApprovalID]])=0),"R3 - Missing or Mismatched Approval Record", "")</f>
        <v/>
      </c>
      <c r="L43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30" t="str">
        <f>IF(AND(tblTransactions[[#This Row],[TransactionStatus]]="Success",COUNTIF(tblSettlement[TransactionID],tblTransactions[[#This Row],[TransactionID]])=0)," R5 - Successful Transaction Not Settled", "")</f>
        <v/>
      </c>
      <c r="N430" t="str">
        <f>IF(AND(COUNTIF(tblSettlement[TransactionID],tblTransactions[[#This Row],[TransactionID]])&gt;0,tblTransactions[[#This Row],[Amount]]&lt;&gt;SUMIF(tblSettlement[TransactionID],tblTransactions[[#This Row],[TransactionID]],tblSettlement[SettledAmount]))," R6 - Settlement Amount Mismatch", "")</f>
        <v/>
      </c>
      <c r="O430" t="str">
        <f>IF(AND(tblTransactions[[#This Row],[CustomerRef]] &lt;&gt;"",COUNTIFS(tblTransactions[CustomerRef],tblTransactions[[#This Row],[CustomerRef]],tblTransactions[Amount],tblTransactions[[#This Row],[Amount]],tblTransactions[Date],tblTransactions[[#This Row],[Date]])&gt;1),"Yes","No")</f>
        <v>No</v>
      </c>
    </row>
    <row r="431" spans="1:15" x14ac:dyDescent="0.3">
      <c r="A431" t="s">
        <v>1259</v>
      </c>
      <c r="B431" s="2">
        <v>46240.898611111108</v>
      </c>
      <c r="C431" t="s">
        <v>24</v>
      </c>
      <c r="D431" t="s">
        <v>29</v>
      </c>
      <c r="E431" s="6">
        <v>66040.149999999994</v>
      </c>
      <c r="F431" t="s">
        <v>11</v>
      </c>
      <c r="G431" t="s">
        <v>1260</v>
      </c>
      <c r="H431" t="s">
        <v>1261</v>
      </c>
      <c r="I431" s="116">
        <f>INT(tblTransactions[[#This Row],[TransactionDate]])</f>
        <v>46240</v>
      </c>
      <c r="J431" t="str">
        <f>IF(tblTransactions[[#This Row],[ApprovalID]]="", "R2 - Missing Approval Reference", "")</f>
        <v/>
      </c>
      <c r="K431" t="str">
        <f>IF(AND(tblTransactions[[#This Row],[ApprovalID]]&lt;&gt;"",COUNTIFS(tblApprovals[TransactionID],tblTransactions[[#This Row],[TransactionID]],tblApprovals[ApprovalID],tblTransactions[[#This Row],[ApprovalID]])=0),"R3 - Missing or Mismatched Approval Record", "")</f>
        <v/>
      </c>
      <c r="L43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1" t="str">
        <f>IF(AND(tblTransactions[[#This Row],[TransactionStatus]]="Success",COUNTIF(tblSettlement[TransactionID],tblTransactions[[#This Row],[TransactionID]])=0)," R5 - Successful Transaction Not Settled", "")</f>
        <v/>
      </c>
      <c r="N431" t="str">
        <f>IF(AND(COUNTIF(tblSettlement[TransactionID],tblTransactions[[#This Row],[TransactionID]])&gt;0,tblTransactions[[#This Row],[Amount]]&lt;&gt;SUMIF(tblSettlement[TransactionID],tblTransactions[[#This Row],[TransactionID]],tblSettlement[SettledAmount]))," R6 - Settlement Amount Mismatch", "")</f>
        <v/>
      </c>
      <c r="O431" t="str">
        <f>IF(AND(tblTransactions[[#This Row],[CustomerRef]] &lt;&gt;"",COUNTIFS(tblTransactions[CustomerRef],tblTransactions[[#This Row],[CustomerRef]],tblTransactions[Amount],tblTransactions[[#This Row],[Amount]],tblTransactions[Date],tblTransactions[[#This Row],[Date]])&gt;1),"Yes","No")</f>
        <v>No</v>
      </c>
    </row>
    <row r="432" spans="1:15" x14ac:dyDescent="0.3">
      <c r="A432" t="s">
        <v>1262</v>
      </c>
      <c r="B432" s="2">
        <v>46208.428472222222</v>
      </c>
      <c r="C432" t="s">
        <v>28</v>
      </c>
      <c r="D432" t="s">
        <v>29</v>
      </c>
      <c r="E432" s="6">
        <v>30372.3</v>
      </c>
      <c r="F432" t="s">
        <v>11</v>
      </c>
      <c r="H432" t="s">
        <v>1263</v>
      </c>
      <c r="I432" s="116">
        <f>INT(tblTransactions[[#This Row],[TransactionDate]])</f>
        <v>46208</v>
      </c>
      <c r="J432" t="str">
        <f>IF(tblTransactions[[#This Row],[ApprovalID]]="", "R2 - Missing Approval Reference", "")</f>
        <v>R2 - Missing Approval Reference</v>
      </c>
      <c r="K432" t="str">
        <f>IF(AND(tblTransactions[[#This Row],[ApprovalID]]&lt;&gt;"",COUNTIFS(tblApprovals[TransactionID],tblTransactions[[#This Row],[TransactionID]],tblApprovals[ApprovalID],tblTransactions[[#This Row],[ApprovalID]])=0),"R3 - Missing or Mismatched Approval Record", "")</f>
        <v/>
      </c>
      <c r="L43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2" t="str">
        <f>IF(AND(tblTransactions[[#This Row],[TransactionStatus]]="Success",COUNTIF(tblSettlement[TransactionID],tblTransactions[[#This Row],[TransactionID]])=0)," R5 - Successful Transaction Not Settled", "")</f>
        <v/>
      </c>
      <c r="N432" t="str">
        <f>IF(AND(COUNTIF(tblSettlement[TransactionID],tblTransactions[[#This Row],[TransactionID]])&gt;0,tblTransactions[[#This Row],[Amount]]&lt;&gt;SUMIF(tblSettlement[TransactionID],tblTransactions[[#This Row],[TransactionID]],tblSettlement[SettledAmount]))," R6 - Settlement Amount Mismatch", "")</f>
        <v/>
      </c>
      <c r="O432" t="str">
        <f>IF(AND(tblTransactions[[#This Row],[CustomerRef]] &lt;&gt;"",COUNTIFS(tblTransactions[CustomerRef],tblTransactions[[#This Row],[CustomerRef]],tblTransactions[Amount],tblTransactions[[#This Row],[Amount]],tblTransactions[Date],tblTransactions[[#This Row],[Date]])&gt;1),"Yes","No")</f>
        <v>No</v>
      </c>
    </row>
    <row r="433" spans="1:15" x14ac:dyDescent="0.3">
      <c r="A433" t="s">
        <v>1264</v>
      </c>
      <c r="B433" s="2">
        <v>46292.460416666669</v>
      </c>
      <c r="C433" t="s">
        <v>24</v>
      </c>
      <c r="D433" t="s">
        <v>10</v>
      </c>
      <c r="E433" s="6">
        <v>55994.8</v>
      </c>
      <c r="F433" t="s">
        <v>111</v>
      </c>
      <c r="G433" t="s">
        <v>1265</v>
      </c>
      <c r="H433" t="s">
        <v>1266</v>
      </c>
      <c r="I433" s="116">
        <f>INT(tblTransactions[[#This Row],[TransactionDate]])</f>
        <v>46292</v>
      </c>
      <c r="J433" t="str">
        <f>IF(tblTransactions[[#This Row],[ApprovalID]]="", "R2 - Missing Approval Reference", "")</f>
        <v/>
      </c>
      <c r="K433" t="str">
        <f>IF(AND(tblTransactions[[#This Row],[ApprovalID]]&lt;&gt;"",COUNTIFS(tblApprovals[TransactionID],tblTransactions[[#This Row],[TransactionID]],tblApprovals[ApprovalID],tblTransactions[[#This Row],[ApprovalID]])=0),"R3 - Missing or Mismatched Approval Record", "")</f>
        <v/>
      </c>
      <c r="L43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33" t="str">
        <f>IF(AND(tblTransactions[[#This Row],[TransactionStatus]]="Success",COUNTIF(tblSettlement[TransactionID],tblTransactions[[#This Row],[TransactionID]])=0)," R5 - Successful Transaction Not Settled", "")</f>
        <v/>
      </c>
      <c r="N433" t="str">
        <f>IF(AND(COUNTIF(tblSettlement[TransactionID],tblTransactions[[#This Row],[TransactionID]])&gt;0,tblTransactions[[#This Row],[Amount]]&lt;&gt;SUMIF(tblSettlement[TransactionID],tblTransactions[[#This Row],[TransactionID]],tblSettlement[SettledAmount]))," R6 - Settlement Amount Mismatch", "")</f>
        <v/>
      </c>
      <c r="O433" t="str">
        <f>IF(AND(tblTransactions[[#This Row],[CustomerRef]] &lt;&gt;"",COUNTIFS(tblTransactions[CustomerRef],tblTransactions[[#This Row],[CustomerRef]],tblTransactions[Amount],tblTransactions[[#This Row],[Amount]],tblTransactions[Date],tblTransactions[[#This Row],[Date]])&gt;1),"Yes","No")</f>
        <v>No</v>
      </c>
    </row>
    <row r="434" spans="1:15" x14ac:dyDescent="0.3">
      <c r="A434" t="s">
        <v>1267</v>
      </c>
      <c r="B434" s="2">
        <v>46243.536805555559</v>
      </c>
      <c r="C434" t="s">
        <v>47</v>
      </c>
      <c r="D434" t="s">
        <v>69</v>
      </c>
      <c r="E434" s="6">
        <v>36998.54</v>
      </c>
      <c r="F434" t="s">
        <v>11</v>
      </c>
      <c r="G434" t="s">
        <v>1268</v>
      </c>
      <c r="H434" t="s">
        <v>1269</v>
      </c>
      <c r="I434" s="116">
        <f>INT(tblTransactions[[#This Row],[TransactionDate]])</f>
        <v>46243</v>
      </c>
      <c r="J434" t="str">
        <f>IF(tblTransactions[[#This Row],[ApprovalID]]="", "R2 - Missing Approval Reference", "")</f>
        <v/>
      </c>
      <c r="K434" t="str">
        <f>IF(AND(tblTransactions[[#This Row],[ApprovalID]]&lt;&gt;"",COUNTIFS(tblApprovals[TransactionID],tblTransactions[[#This Row],[TransactionID]],tblApprovals[ApprovalID],tblTransactions[[#This Row],[ApprovalID]])=0),"R3 - Missing or Mismatched Approval Record", "")</f>
        <v/>
      </c>
      <c r="L43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4" t="str">
        <f>IF(AND(tblTransactions[[#This Row],[TransactionStatus]]="Success",COUNTIF(tblSettlement[TransactionID],tblTransactions[[#This Row],[TransactionID]])=0)," R5 - Successful Transaction Not Settled", "")</f>
        <v/>
      </c>
      <c r="N434" t="str">
        <f>IF(AND(COUNTIF(tblSettlement[TransactionID],tblTransactions[[#This Row],[TransactionID]])&gt;0,tblTransactions[[#This Row],[Amount]]&lt;&gt;SUMIF(tblSettlement[TransactionID],tblTransactions[[#This Row],[TransactionID]],tblSettlement[SettledAmount]))," R6 - Settlement Amount Mismatch", "")</f>
        <v xml:space="preserve"> R6 - Settlement Amount Mismatch</v>
      </c>
      <c r="O434" t="str">
        <f>IF(AND(tblTransactions[[#This Row],[CustomerRef]] &lt;&gt;"",COUNTIFS(tblTransactions[CustomerRef],tblTransactions[[#This Row],[CustomerRef]],tblTransactions[Amount],tblTransactions[[#This Row],[Amount]],tblTransactions[Date],tblTransactions[[#This Row],[Date]])&gt;1),"Yes","No")</f>
        <v>No</v>
      </c>
    </row>
    <row r="435" spans="1:15" x14ac:dyDescent="0.3">
      <c r="A435" t="s">
        <v>1270</v>
      </c>
      <c r="B435" s="2">
        <v>46245.531944444447</v>
      </c>
      <c r="C435" t="s">
        <v>9</v>
      </c>
      <c r="D435" t="s">
        <v>29</v>
      </c>
      <c r="E435" s="6">
        <v>31403.759999999998</v>
      </c>
      <c r="F435" t="s">
        <v>11</v>
      </c>
      <c r="G435" t="s">
        <v>1271</v>
      </c>
      <c r="H435" t="s">
        <v>1272</v>
      </c>
      <c r="I435" s="116">
        <f>INT(tblTransactions[[#This Row],[TransactionDate]])</f>
        <v>46245</v>
      </c>
      <c r="J435" t="str">
        <f>IF(tblTransactions[[#This Row],[ApprovalID]]="", "R2 - Missing Approval Reference", "")</f>
        <v/>
      </c>
      <c r="K435" t="str">
        <f>IF(AND(tblTransactions[[#This Row],[ApprovalID]]&lt;&gt;"",COUNTIFS(tblApprovals[TransactionID],tblTransactions[[#This Row],[TransactionID]],tblApprovals[ApprovalID],tblTransactions[[#This Row],[ApprovalID]])=0),"R3 - Missing or Mismatched Approval Record", "")</f>
        <v/>
      </c>
      <c r="L43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5" t="str">
        <f>IF(AND(tblTransactions[[#This Row],[TransactionStatus]]="Success",COUNTIF(tblSettlement[TransactionID],tblTransactions[[#This Row],[TransactionID]])=0)," R5 - Successful Transaction Not Settled", "")</f>
        <v/>
      </c>
      <c r="N435" t="str">
        <f>IF(AND(COUNTIF(tblSettlement[TransactionID],tblTransactions[[#This Row],[TransactionID]])&gt;0,tblTransactions[[#This Row],[Amount]]&lt;&gt;SUMIF(tblSettlement[TransactionID],tblTransactions[[#This Row],[TransactionID]],tblSettlement[SettledAmount]))," R6 - Settlement Amount Mismatch", "")</f>
        <v/>
      </c>
      <c r="O435" t="str">
        <f>IF(AND(tblTransactions[[#This Row],[CustomerRef]] &lt;&gt;"",COUNTIFS(tblTransactions[CustomerRef],tblTransactions[[#This Row],[CustomerRef]],tblTransactions[Amount],tblTransactions[[#This Row],[Amount]],tblTransactions[Date],tblTransactions[[#This Row],[Date]])&gt;1),"Yes","No")</f>
        <v>No</v>
      </c>
    </row>
    <row r="436" spans="1:15" x14ac:dyDescent="0.3">
      <c r="A436" t="s">
        <v>1273</v>
      </c>
      <c r="B436" s="2">
        <v>46266.856249999997</v>
      </c>
      <c r="C436" t="s">
        <v>19</v>
      </c>
      <c r="D436" t="s">
        <v>69</v>
      </c>
      <c r="E436" s="6">
        <v>65072.38</v>
      </c>
      <c r="F436" t="s">
        <v>11</v>
      </c>
      <c r="H436" t="s">
        <v>1274</v>
      </c>
      <c r="I436" s="116">
        <f>INT(tblTransactions[[#This Row],[TransactionDate]])</f>
        <v>46266</v>
      </c>
      <c r="J436" t="str">
        <f>IF(tblTransactions[[#This Row],[ApprovalID]]="", "R2 - Missing Approval Reference", "")</f>
        <v>R2 - Missing Approval Reference</v>
      </c>
      <c r="K436" t="str">
        <f>IF(AND(tblTransactions[[#This Row],[ApprovalID]]&lt;&gt;"",COUNTIFS(tblApprovals[TransactionID],tblTransactions[[#This Row],[TransactionID]],tblApprovals[ApprovalID],tblTransactions[[#This Row],[ApprovalID]])=0),"R3 - Missing or Mismatched Approval Record", "")</f>
        <v/>
      </c>
      <c r="L43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6" t="str">
        <f>IF(AND(tblTransactions[[#This Row],[TransactionStatus]]="Success",COUNTIF(tblSettlement[TransactionID],tblTransactions[[#This Row],[TransactionID]])=0)," R5 - Successful Transaction Not Settled", "")</f>
        <v/>
      </c>
      <c r="N436" t="str">
        <f>IF(AND(COUNTIF(tblSettlement[TransactionID],tblTransactions[[#This Row],[TransactionID]])&gt;0,tblTransactions[[#This Row],[Amount]]&lt;&gt;SUMIF(tblSettlement[TransactionID],tblTransactions[[#This Row],[TransactionID]],tblSettlement[SettledAmount]))," R6 - Settlement Amount Mismatch", "")</f>
        <v/>
      </c>
      <c r="O436" t="str">
        <f>IF(AND(tblTransactions[[#This Row],[CustomerRef]] &lt;&gt;"",COUNTIFS(tblTransactions[CustomerRef],tblTransactions[[#This Row],[CustomerRef]],tblTransactions[Amount],tblTransactions[[#This Row],[Amount]],tblTransactions[Date],tblTransactions[[#This Row],[Date]])&gt;1),"Yes","No")</f>
        <v>No</v>
      </c>
    </row>
    <row r="437" spans="1:15" x14ac:dyDescent="0.3">
      <c r="A437" t="s">
        <v>1275</v>
      </c>
      <c r="B437" s="2">
        <v>46255.450694444444</v>
      </c>
      <c r="C437" t="s">
        <v>47</v>
      </c>
      <c r="D437" t="s">
        <v>69</v>
      </c>
      <c r="E437" s="6">
        <v>63884.33</v>
      </c>
      <c r="F437" t="s">
        <v>11</v>
      </c>
      <c r="G437" t="s">
        <v>1276</v>
      </c>
      <c r="H437" t="s">
        <v>1277</v>
      </c>
      <c r="I437" s="116">
        <f>INT(tblTransactions[[#This Row],[TransactionDate]])</f>
        <v>46255</v>
      </c>
      <c r="J437" t="str">
        <f>IF(tblTransactions[[#This Row],[ApprovalID]]="", "R2 - Missing Approval Reference", "")</f>
        <v/>
      </c>
      <c r="K437" t="str">
        <f>IF(AND(tblTransactions[[#This Row],[ApprovalID]]&lt;&gt;"",COUNTIFS(tblApprovals[TransactionID],tblTransactions[[#This Row],[TransactionID]],tblApprovals[ApprovalID],tblTransactions[[#This Row],[ApprovalID]])=0),"R3 - Missing or Mismatched Approval Record", "")</f>
        <v/>
      </c>
      <c r="L43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7" t="str">
        <f>IF(AND(tblTransactions[[#This Row],[TransactionStatus]]="Success",COUNTIF(tblSettlement[TransactionID],tblTransactions[[#This Row],[TransactionID]])=0)," R5 - Successful Transaction Not Settled", "")</f>
        <v/>
      </c>
      <c r="N437" t="str">
        <f>IF(AND(COUNTIF(tblSettlement[TransactionID],tblTransactions[[#This Row],[TransactionID]])&gt;0,tblTransactions[[#This Row],[Amount]]&lt;&gt;SUMIF(tblSettlement[TransactionID],tblTransactions[[#This Row],[TransactionID]],tblSettlement[SettledAmount]))," R6 - Settlement Amount Mismatch", "")</f>
        <v/>
      </c>
      <c r="O437" t="str">
        <f>IF(AND(tblTransactions[[#This Row],[CustomerRef]] &lt;&gt;"",COUNTIFS(tblTransactions[CustomerRef],tblTransactions[[#This Row],[CustomerRef]],tblTransactions[Amount],tblTransactions[[#This Row],[Amount]],tblTransactions[Date],tblTransactions[[#This Row],[Date]])&gt;1),"Yes","No")</f>
        <v>No</v>
      </c>
    </row>
    <row r="438" spans="1:15" x14ac:dyDescent="0.3">
      <c r="A438" t="s">
        <v>1278</v>
      </c>
      <c r="B438" s="2">
        <v>46211.459722222222</v>
      </c>
      <c r="C438" t="s">
        <v>28</v>
      </c>
      <c r="D438" t="s">
        <v>69</v>
      </c>
      <c r="E438" s="6">
        <v>34369.54</v>
      </c>
      <c r="F438" t="s">
        <v>111</v>
      </c>
      <c r="G438" t="s">
        <v>1279</v>
      </c>
      <c r="H438" t="s">
        <v>1280</v>
      </c>
      <c r="I438" s="116">
        <f>INT(tblTransactions[[#This Row],[TransactionDate]])</f>
        <v>46211</v>
      </c>
      <c r="J438" t="str">
        <f>IF(tblTransactions[[#This Row],[ApprovalID]]="", "R2 - Missing Approval Reference", "")</f>
        <v/>
      </c>
      <c r="K438" t="str">
        <f>IF(AND(tblTransactions[[#This Row],[ApprovalID]]&lt;&gt;"",COUNTIFS(tblApprovals[TransactionID],tblTransactions[[#This Row],[TransactionID]],tblApprovals[ApprovalID],tblTransactions[[#This Row],[ApprovalID]])=0),"R3 - Missing or Mismatched Approval Record", "")</f>
        <v/>
      </c>
      <c r="L43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8" t="str">
        <f>IF(AND(tblTransactions[[#This Row],[TransactionStatus]]="Success",COUNTIF(tblSettlement[TransactionID],tblTransactions[[#This Row],[TransactionID]])=0)," R5 - Successful Transaction Not Settled", "")</f>
        <v/>
      </c>
      <c r="N438" t="str">
        <f>IF(AND(COUNTIF(tblSettlement[TransactionID],tblTransactions[[#This Row],[TransactionID]])&gt;0,tblTransactions[[#This Row],[Amount]]&lt;&gt;SUMIF(tblSettlement[TransactionID],tblTransactions[[#This Row],[TransactionID]],tblSettlement[SettledAmount]))," R6 - Settlement Amount Mismatch", "")</f>
        <v/>
      </c>
      <c r="O438" t="str">
        <f>IF(AND(tblTransactions[[#This Row],[CustomerRef]] &lt;&gt;"",COUNTIFS(tblTransactions[CustomerRef],tblTransactions[[#This Row],[CustomerRef]],tblTransactions[Amount],tblTransactions[[#This Row],[Amount]],tblTransactions[Date],tblTransactions[[#This Row],[Date]])&gt;1),"Yes","No")</f>
        <v>No</v>
      </c>
    </row>
    <row r="439" spans="1:15" x14ac:dyDescent="0.3">
      <c r="A439" t="s">
        <v>1281</v>
      </c>
      <c r="B439" s="2">
        <v>46268.611111111109</v>
      </c>
      <c r="C439" t="s">
        <v>9</v>
      </c>
      <c r="D439" t="s">
        <v>20</v>
      </c>
      <c r="E439" s="6">
        <v>69249.75</v>
      </c>
      <c r="F439" t="s">
        <v>11</v>
      </c>
      <c r="G439" t="s">
        <v>1282</v>
      </c>
      <c r="H439" t="s">
        <v>1283</v>
      </c>
      <c r="I439" s="116">
        <f>INT(tblTransactions[[#This Row],[TransactionDate]])</f>
        <v>46268</v>
      </c>
      <c r="J439" t="str">
        <f>IF(tblTransactions[[#This Row],[ApprovalID]]="", "R2 - Missing Approval Reference", "")</f>
        <v/>
      </c>
      <c r="K439" t="str">
        <f>IF(AND(tblTransactions[[#This Row],[ApprovalID]]&lt;&gt;"",COUNTIFS(tblApprovals[TransactionID],tblTransactions[[#This Row],[TransactionID]],tblApprovals[ApprovalID],tblTransactions[[#This Row],[ApprovalID]])=0),"R3 - Missing or Mismatched Approval Record", "")</f>
        <v/>
      </c>
      <c r="L43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39" t="str">
        <f>IF(AND(tblTransactions[[#This Row],[TransactionStatus]]="Success",COUNTIF(tblSettlement[TransactionID],tblTransactions[[#This Row],[TransactionID]])=0)," R5 - Successful Transaction Not Settled", "")</f>
        <v/>
      </c>
      <c r="N439" t="str">
        <f>IF(AND(COUNTIF(tblSettlement[TransactionID],tblTransactions[[#This Row],[TransactionID]])&gt;0,tblTransactions[[#This Row],[Amount]]&lt;&gt;SUMIF(tblSettlement[TransactionID],tblTransactions[[#This Row],[TransactionID]],tblSettlement[SettledAmount]))," R6 - Settlement Amount Mismatch", "")</f>
        <v/>
      </c>
      <c r="O439" t="str">
        <f>IF(AND(tblTransactions[[#This Row],[CustomerRef]] &lt;&gt;"",COUNTIFS(tblTransactions[CustomerRef],tblTransactions[[#This Row],[CustomerRef]],tblTransactions[Amount],tblTransactions[[#This Row],[Amount]],tblTransactions[Date],tblTransactions[[#This Row],[Date]])&gt;1),"Yes","No")</f>
        <v>No</v>
      </c>
    </row>
    <row r="440" spans="1:15" x14ac:dyDescent="0.3">
      <c r="A440" t="s">
        <v>1284</v>
      </c>
      <c r="B440" s="2">
        <v>46226.895833333336</v>
      </c>
      <c r="C440" t="s">
        <v>9</v>
      </c>
      <c r="D440" t="s">
        <v>20</v>
      </c>
      <c r="E440" s="6">
        <v>44119.3</v>
      </c>
      <c r="F440" t="s">
        <v>11</v>
      </c>
      <c r="G440" t="s">
        <v>1285</v>
      </c>
      <c r="H440" t="s">
        <v>1286</v>
      </c>
      <c r="I440" s="116">
        <f>INT(tblTransactions[[#This Row],[TransactionDate]])</f>
        <v>46226</v>
      </c>
      <c r="J440" t="str">
        <f>IF(tblTransactions[[#This Row],[ApprovalID]]="", "R2 - Missing Approval Reference", "")</f>
        <v/>
      </c>
      <c r="K440" t="str">
        <f>IF(AND(tblTransactions[[#This Row],[ApprovalID]]&lt;&gt;"",COUNTIFS(tblApprovals[TransactionID],tblTransactions[[#This Row],[TransactionID]],tblApprovals[ApprovalID],tblTransactions[[#This Row],[ApprovalID]])=0),"R3 - Missing or Mismatched Approval Record", "")</f>
        <v/>
      </c>
      <c r="L44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0" t="str">
        <f>IF(AND(tblTransactions[[#This Row],[TransactionStatus]]="Success",COUNTIF(tblSettlement[TransactionID],tblTransactions[[#This Row],[TransactionID]])=0)," R5 - Successful Transaction Not Settled", "")</f>
        <v/>
      </c>
      <c r="N440" t="str">
        <f>IF(AND(COUNTIF(tblSettlement[TransactionID],tblTransactions[[#This Row],[TransactionID]])&gt;0,tblTransactions[[#This Row],[Amount]]&lt;&gt;SUMIF(tblSettlement[TransactionID],tblTransactions[[#This Row],[TransactionID]],tblSettlement[SettledAmount]))," R6 - Settlement Amount Mismatch", "")</f>
        <v/>
      </c>
      <c r="O440" t="str">
        <f>IF(AND(tblTransactions[[#This Row],[CustomerRef]] &lt;&gt;"",COUNTIFS(tblTransactions[CustomerRef],tblTransactions[[#This Row],[CustomerRef]],tblTransactions[Amount],tblTransactions[[#This Row],[Amount]],tblTransactions[Date],tblTransactions[[#This Row],[Date]])&gt;1),"Yes","No")</f>
        <v>No</v>
      </c>
    </row>
    <row r="441" spans="1:15" x14ac:dyDescent="0.3">
      <c r="A441" t="s">
        <v>1287</v>
      </c>
      <c r="B441" s="2">
        <v>46240.35</v>
      </c>
      <c r="C441" t="s">
        <v>9</v>
      </c>
      <c r="D441" t="s">
        <v>69</v>
      </c>
      <c r="E441" s="6">
        <v>3961.42</v>
      </c>
      <c r="F441" t="s">
        <v>11</v>
      </c>
      <c r="G441" t="s">
        <v>1288</v>
      </c>
      <c r="H441" t="s">
        <v>1289</v>
      </c>
      <c r="I441" s="116">
        <f>INT(tblTransactions[[#This Row],[TransactionDate]])</f>
        <v>46240</v>
      </c>
      <c r="J441" t="str">
        <f>IF(tblTransactions[[#This Row],[ApprovalID]]="", "R2 - Missing Approval Reference", "")</f>
        <v/>
      </c>
      <c r="K441" t="str">
        <f>IF(AND(tblTransactions[[#This Row],[ApprovalID]]&lt;&gt;"",COUNTIFS(tblApprovals[TransactionID],tblTransactions[[#This Row],[TransactionID]],tblApprovals[ApprovalID],tblTransactions[[#This Row],[ApprovalID]])=0),"R3 - Missing or Mismatched Approval Record", "")</f>
        <v/>
      </c>
      <c r="L44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41" t="str">
        <f>IF(AND(tblTransactions[[#This Row],[TransactionStatus]]="Success",COUNTIF(tblSettlement[TransactionID],tblTransactions[[#This Row],[TransactionID]])=0)," R5 - Successful Transaction Not Settled", "")</f>
        <v/>
      </c>
      <c r="N441" t="str">
        <f>IF(AND(COUNTIF(tblSettlement[TransactionID],tblTransactions[[#This Row],[TransactionID]])&gt;0,tblTransactions[[#This Row],[Amount]]&lt;&gt;SUMIF(tblSettlement[TransactionID],tblTransactions[[#This Row],[TransactionID]],tblSettlement[SettledAmount]))," R6 - Settlement Amount Mismatch", "")</f>
        <v/>
      </c>
      <c r="O441" t="str">
        <f>IF(AND(tblTransactions[[#This Row],[CustomerRef]] &lt;&gt;"",COUNTIFS(tblTransactions[CustomerRef],tblTransactions[[#This Row],[CustomerRef]],tblTransactions[Amount],tblTransactions[[#This Row],[Amount]],tblTransactions[Date],tblTransactions[[#This Row],[Date]])&gt;1),"Yes","No")</f>
        <v>No</v>
      </c>
    </row>
    <row r="442" spans="1:15" x14ac:dyDescent="0.3">
      <c r="A442" t="s">
        <v>1290</v>
      </c>
      <c r="B442" s="2">
        <v>46238.768055555556</v>
      </c>
      <c r="C442" t="s">
        <v>28</v>
      </c>
      <c r="D442" t="s">
        <v>10</v>
      </c>
      <c r="E442" s="6">
        <v>38617.769999999997</v>
      </c>
      <c r="F442" t="s">
        <v>11</v>
      </c>
      <c r="G442" t="s">
        <v>1291</v>
      </c>
      <c r="H442" t="s">
        <v>1292</v>
      </c>
      <c r="I442" s="116">
        <f>INT(tblTransactions[[#This Row],[TransactionDate]])</f>
        <v>46238</v>
      </c>
      <c r="J442" t="str">
        <f>IF(tblTransactions[[#This Row],[ApprovalID]]="", "R2 - Missing Approval Reference", "")</f>
        <v/>
      </c>
      <c r="K442" t="str">
        <f>IF(AND(tblTransactions[[#This Row],[ApprovalID]]&lt;&gt;"",COUNTIFS(tblApprovals[TransactionID],tblTransactions[[#This Row],[TransactionID]],tblApprovals[ApprovalID],tblTransactions[[#This Row],[ApprovalID]])=0),"R3 - Missing or Mismatched Approval Record", "")</f>
        <v/>
      </c>
      <c r="L44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2" t="str">
        <f>IF(AND(tblTransactions[[#This Row],[TransactionStatus]]="Success",COUNTIF(tblSettlement[TransactionID],tblTransactions[[#This Row],[TransactionID]])=0)," R5 - Successful Transaction Not Settled", "")</f>
        <v/>
      </c>
      <c r="N442" t="str">
        <f>IF(AND(COUNTIF(tblSettlement[TransactionID],tblTransactions[[#This Row],[TransactionID]])&gt;0,tblTransactions[[#This Row],[Amount]]&lt;&gt;SUMIF(tblSettlement[TransactionID],tblTransactions[[#This Row],[TransactionID]],tblSettlement[SettledAmount]))," R6 - Settlement Amount Mismatch", "")</f>
        <v/>
      </c>
      <c r="O442" t="str">
        <f>IF(AND(tblTransactions[[#This Row],[CustomerRef]] &lt;&gt;"",COUNTIFS(tblTransactions[CustomerRef],tblTransactions[[#This Row],[CustomerRef]],tblTransactions[Amount],tblTransactions[[#This Row],[Amount]],tblTransactions[Date],tblTransactions[[#This Row],[Date]])&gt;1),"Yes","No")</f>
        <v>No</v>
      </c>
    </row>
    <row r="443" spans="1:15" x14ac:dyDescent="0.3">
      <c r="A443" t="s">
        <v>1293</v>
      </c>
      <c r="B443" s="2">
        <v>46286.443055555559</v>
      </c>
      <c r="C443" t="s">
        <v>19</v>
      </c>
      <c r="D443" t="s">
        <v>20</v>
      </c>
      <c r="E443" s="6">
        <v>60114.64</v>
      </c>
      <c r="F443" t="s">
        <v>11</v>
      </c>
      <c r="G443" t="s">
        <v>1294</v>
      </c>
      <c r="H443" t="s">
        <v>1295</v>
      </c>
      <c r="I443" s="116">
        <f>INT(tblTransactions[[#This Row],[TransactionDate]])</f>
        <v>46286</v>
      </c>
      <c r="J443" t="str">
        <f>IF(tblTransactions[[#This Row],[ApprovalID]]="", "R2 - Missing Approval Reference", "")</f>
        <v/>
      </c>
      <c r="K443" t="str">
        <f>IF(AND(tblTransactions[[#This Row],[ApprovalID]]&lt;&gt;"",COUNTIFS(tblApprovals[TransactionID],tblTransactions[[#This Row],[TransactionID]],tblApprovals[ApprovalID],tblTransactions[[#This Row],[ApprovalID]])=0),"R3 - Missing or Mismatched Approval Record", "")</f>
        <v/>
      </c>
      <c r="L44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43" t="str">
        <f>IF(AND(tblTransactions[[#This Row],[TransactionStatus]]="Success",COUNTIF(tblSettlement[TransactionID],tblTransactions[[#This Row],[TransactionID]])=0)," R5 - Successful Transaction Not Settled", "")</f>
        <v/>
      </c>
      <c r="N443" t="str">
        <f>IF(AND(COUNTIF(tblSettlement[TransactionID],tblTransactions[[#This Row],[TransactionID]])&gt;0,tblTransactions[[#This Row],[Amount]]&lt;&gt;SUMIF(tblSettlement[TransactionID],tblTransactions[[#This Row],[TransactionID]],tblSettlement[SettledAmount]))," R6 - Settlement Amount Mismatch", "")</f>
        <v/>
      </c>
      <c r="O443" t="str">
        <f>IF(AND(tblTransactions[[#This Row],[CustomerRef]] &lt;&gt;"",COUNTIFS(tblTransactions[CustomerRef],tblTransactions[[#This Row],[CustomerRef]],tblTransactions[Amount],tblTransactions[[#This Row],[Amount]],tblTransactions[Date],tblTransactions[[#This Row],[Date]])&gt;1),"Yes","No")</f>
        <v>No</v>
      </c>
    </row>
    <row r="444" spans="1:15" x14ac:dyDescent="0.3">
      <c r="A444" t="s">
        <v>1296</v>
      </c>
      <c r="B444" s="2">
        <v>46258.933333333334</v>
      </c>
      <c r="C444" t="s">
        <v>9</v>
      </c>
      <c r="D444" t="s">
        <v>29</v>
      </c>
      <c r="E444" s="6">
        <v>63906.07</v>
      </c>
      <c r="F444" t="s">
        <v>11</v>
      </c>
      <c r="G444" t="s">
        <v>1297</v>
      </c>
      <c r="H444" t="s">
        <v>1298</v>
      </c>
      <c r="I444" s="116">
        <f>INT(tblTransactions[[#This Row],[TransactionDate]])</f>
        <v>46258</v>
      </c>
      <c r="J444" t="str">
        <f>IF(tblTransactions[[#This Row],[ApprovalID]]="", "R2 - Missing Approval Reference", "")</f>
        <v/>
      </c>
      <c r="K444" t="str">
        <f>IF(AND(tblTransactions[[#This Row],[ApprovalID]]&lt;&gt;"",COUNTIFS(tblApprovals[TransactionID],tblTransactions[[#This Row],[TransactionID]],tblApprovals[ApprovalID],tblTransactions[[#This Row],[ApprovalID]])=0),"R3 - Missing or Mismatched Approval Record", "")</f>
        <v/>
      </c>
      <c r="L44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4" t="str">
        <f>IF(AND(tblTransactions[[#This Row],[TransactionStatus]]="Success",COUNTIF(tblSettlement[TransactionID],tblTransactions[[#This Row],[TransactionID]])=0)," R5 - Successful Transaction Not Settled", "")</f>
        <v/>
      </c>
      <c r="N444" t="str">
        <f>IF(AND(COUNTIF(tblSettlement[TransactionID],tblTransactions[[#This Row],[TransactionID]])&gt;0,tblTransactions[[#This Row],[Amount]]&lt;&gt;SUMIF(tblSettlement[TransactionID],tblTransactions[[#This Row],[TransactionID]],tblSettlement[SettledAmount]))," R6 - Settlement Amount Mismatch", "")</f>
        <v/>
      </c>
      <c r="O444" t="str">
        <f>IF(AND(tblTransactions[[#This Row],[CustomerRef]] &lt;&gt;"",COUNTIFS(tblTransactions[CustomerRef],tblTransactions[[#This Row],[CustomerRef]],tblTransactions[Amount],tblTransactions[[#This Row],[Amount]],tblTransactions[Date],tblTransactions[[#This Row],[Date]])&gt;1),"Yes","No")</f>
        <v>No</v>
      </c>
    </row>
    <row r="445" spans="1:15" x14ac:dyDescent="0.3">
      <c r="A445" t="s">
        <v>1299</v>
      </c>
      <c r="B445" s="2">
        <v>46283.609027777777</v>
      </c>
      <c r="C445" t="s">
        <v>28</v>
      </c>
      <c r="D445" t="s">
        <v>20</v>
      </c>
      <c r="E445" s="6">
        <v>7897.83</v>
      </c>
      <c r="F445" t="s">
        <v>11</v>
      </c>
      <c r="G445" t="s">
        <v>1300</v>
      </c>
      <c r="H445" t="s">
        <v>1301</v>
      </c>
      <c r="I445" s="116">
        <f>INT(tblTransactions[[#This Row],[TransactionDate]])</f>
        <v>46283</v>
      </c>
      <c r="J445" t="str">
        <f>IF(tblTransactions[[#This Row],[ApprovalID]]="", "R2 - Missing Approval Reference", "")</f>
        <v/>
      </c>
      <c r="K445" t="str">
        <f>IF(AND(tblTransactions[[#This Row],[ApprovalID]]&lt;&gt;"",COUNTIFS(tblApprovals[TransactionID],tblTransactions[[#This Row],[TransactionID]],tblApprovals[ApprovalID],tblTransactions[[#This Row],[ApprovalID]])=0),"R3 - Missing or Mismatched Approval Record", "")</f>
        <v/>
      </c>
      <c r="L44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45" t="str">
        <f>IF(AND(tblTransactions[[#This Row],[TransactionStatus]]="Success",COUNTIF(tblSettlement[TransactionID],tblTransactions[[#This Row],[TransactionID]])=0)," R5 - Successful Transaction Not Settled", "")</f>
        <v/>
      </c>
      <c r="N445" t="str">
        <f>IF(AND(COUNTIF(tblSettlement[TransactionID],tblTransactions[[#This Row],[TransactionID]])&gt;0,tblTransactions[[#This Row],[Amount]]&lt;&gt;SUMIF(tblSettlement[TransactionID],tblTransactions[[#This Row],[TransactionID]],tblSettlement[SettledAmount]))," R6 - Settlement Amount Mismatch", "")</f>
        <v/>
      </c>
      <c r="O445" t="str">
        <f>IF(AND(tblTransactions[[#This Row],[CustomerRef]] &lt;&gt;"",COUNTIFS(tblTransactions[CustomerRef],tblTransactions[[#This Row],[CustomerRef]],tblTransactions[Amount],tblTransactions[[#This Row],[Amount]],tblTransactions[Date],tblTransactions[[#This Row],[Date]])&gt;1),"Yes","No")</f>
        <v>No</v>
      </c>
    </row>
    <row r="446" spans="1:15" x14ac:dyDescent="0.3">
      <c r="A446" t="s">
        <v>1302</v>
      </c>
      <c r="B446" s="2">
        <v>46242.754166666666</v>
      </c>
      <c r="C446" t="s">
        <v>24</v>
      </c>
      <c r="D446" t="s">
        <v>20</v>
      </c>
      <c r="E446" s="6">
        <v>36259.949999999997</v>
      </c>
      <c r="F446" t="s">
        <v>11</v>
      </c>
      <c r="G446" t="s">
        <v>1303</v>
      </c>
      <c r="H446" t="s">
        <v>1304</v>
      </c>
      <c r="I446" s="116">
        <f>INT(tblTransactions[[#This Row],[TransactionDate]])</f>
        <v>46242</v>
      </c>
      <c r="J446" t="str">
        <f>IF(tblTransactions[[#This Row],[ApprovalID]]="", "R2 - Missing Approval Reference", "")</f>
        <v/>
      </c>
      <c r="K446" t="str">
        <f>IF(AND(tblTransactions[[#This Row],[ApprovalID]]&lt;&gt;"",COUNTIFS(tblApprovals[TransactionID],tblTransactions[[#This Row],[TransactionID]],tblApprovals[ApprovalID],tblTransactions[[#This Row],[ApprovalID]])=0),"R3 - Missing or Mismatched Approval Record", "")</f>
        <v/>
      </c>
      <c r="L44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6" t="str">
        <f>IF(AND(tblTransactions[[#This Row],[TransactionStatus]]="Success",COUNTIF(tblSettlement[TransactionID],tblTransactions[[#This Row],[TransactionID]])=0)," R5 - Successful Transaction Not Settled", "")</f>
        <v/>
      </c>
      <c r="N446" t="str">
        <f>IF(AND(COUNTIF(tblSettlement[TransactionID],tblTransactions[[#This Row],[TransactionID]])&gt;0,tblTransactions[[#This Row],[Amount]]&lt;&gt;SUMIF(tblSettlement[TransactionID],tblTransactions[[#This Row],[TransactionID]],tblSettlement[SettledAmount]))," R6 - Settlement Amount Mismatch", "")</f>
        <v/>
      </c>
      <c r="O446" t="str">
        <f>IF(AND(tblTransactions[[#This Row],[CustomerRef]] &lt;&gt;"",COUNTIFS(tblTransactions[CustomerRef],tblTransactions[[#This Row],[CustomerRef]],tblTransactions[Amount],tblTransactions[[#This Row],[Amount]],tblTransactions[Date],tblTransactions[[#This Row],[Date]])&gt;1),"Yes","No")</f>
        <v>No</v>
      </c>
    </row>
    <row r="447" spans="1:15" x14ac:dyDescent="0.3">
      <c r="A447" t="s">
        <v>1305</v>
      </c>
      <c r="B447" s="2">
        <v>46287.831250000003</v>
      </c>
      <c r="C447" t="s">
        <v>19</v>
      </c>
      <c r="D447" t="s">
        <v>69</v>
      </c>
      <c r="E447" s="6">
        <v>48947.12</v>
      </c>
      <c r="F447" t="s">
        <v>11</v>
      </c>
      <c r="G447" t="s">
        <v>1306</v>
      </c>
      <c r="H447" t="s">
        <v>1307</v>
      </c>
      <c r="I447" s="116">
        <f>INT(tblTransactions[[#This Row],[TransactionDate]])</f>
        <v>46287</v>
      </c>
      <c r="J447" t="str">
        <f>IF(tblTransactions[[#This Row],[ApprovalID]]="", "R2 - Missing Approval Reference", "")</f>
        <v/>
      </c>
      <c r="K447" t="str">
        <f>IF(AND(tblTransactions[[#This Row],[ApprovalID]]&lt;&gt;"",COUNTIFS(tblApprovals[TransactionID],tblTransactions[[#This Row],[TransactionID]],tblApprovals[ApprovalID],tblTransactions[[#This Row],[ApprovalID]])=0),"R3 - Missing or Mismatched Approval Record", "")</f>
        <v/>
      </c>
      <c r="L44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7" t="str">
        <f>IF(AND(tblTransactions[[#This Row],[TransactionStatus]]="Success",COUNTIF(tblSettlement[TransactionID],tblTransactions[[#This Row],[TransactionID]])=0)," R5 - Successful Transaction Not Settled", "")</f>
        <v/>
      </c>
      <c r="N447" t="str">
        <f>IF(AND(COUNTIF(tblSettlement[TransactionID],tblTransactions[[#This Row],[TransactionID]])&gt;0,tblTransactions[[#This Row],[Amount]]&lt;&gt;SUMIF(tblSettlement[TransactionID],tblTransactions[[#This Row],[TransactionID]],tblSettlement[SettledAmount]))," R6 - Settlement Amount Mismatch", "")</f>
        <v/>
      </c>
      <c r="O447" t="str">
        <f>IF(AND(tblTransactions[[#This Row],[CustomerRef]] &lt;&gt;"",COUNTIFS(tblTransactions[CustomerRef],tblTransactions[[#This Row],[CustomerRef]],tblTransactions[Amount],tblTransactions[[#This Row],[Amount]],tblTransactions[Date],tblTransactions[[#This Row],[Date]])&gt;1),"Yes","No")</f>
        <v>No</v>
      </c>
    </row>
    <row r="448" spans="1:15" x14ac:dyDescent="0.3">
      <c r="A448" t="s">
        <v>1308</v>
      </c>
      <c r="B448" s="2">
        <v>46288.571527777778</v>
      </c>
      <c r="C448" t="s">
        <v>43</v>
      </c>
      <c r="D448" t="s">
        <v>20</v>
      </c>
      <c r="E448" s="6">
        <v>10709.73</v>
      </c>
      <c r="F448" t="s">
        <v>11</v>
      </c>
      <c r="G448" t="s">
        <v>1309</v>
      </c>
      <c r="H448" t="s">
        <v>1310</v>
      </c>
      <c r="I448" s="116">
        <f>INT(tblTransactions[[#This Row],[TransactionDate]])</f>
        <v>46288</v>
      </c>
      <c r="J448" t="str">
        <f>IF(tblTransactions[[#This Row],[ApprovalID]]="", "R2 - Missing Approval Reference", "")</f>
        <v/>
      </c>
      <c r="K448" t="str">
        <f>IF(AND(tblTransactions[[#This Row],[ApprovalID]]&lt;&gt;"",COUNTIFS(tblApprovals[TransactionID],tblTransactions[[#This Row],[TransactionID]],tblApprovals[ApprovalID],tblTransactions[[#This Row],[ApprovalID]])=0),"R3 - Missing or Mismatched Approval Record", "")</f>
        <v/>
      </c>
      <c r="L44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8" t="str">
        <f>IF(AND(tblTransactions[[#This Row],[TransactionStatus]]="Success",COUNTIF(tblSettlement[TransactionID],tblTransactions[[#This Row],[TransactionID]])=0)," R5 - Successful Transaction Not Settled", "")</f>
        <v/>
      </c>
      <c r="N448" t="str">
        <f>IF(AND(COUNTIF(tblSettlement[TransactionID],tblTransactions[[#This Row],[TransactionID]])&gt;0,tblTransactions[[#This Row],[Amount]]&lt;&gt;SUMIF(tblSettlement[TransactionID],tblTransactions[[#This Row],[TransactionID]],tblSettlement[SettledAmount]))," R6 - Settlement Amount Mismatch", "")</f>
        <v/>
      </c>
      <c r="O448" t="str">
        <f>IF(AND(tblTransactions[[#This Row],[CustomerRef]] &lt;&gt;"",COUNTIFS(tblTransactions[CustomerRef],tblTransactions[[#This Row],[CustomerRef]],tblTransactions[Amount],tblTransactions[[#This Row],[Amount]],tblTransactions[Date],tblTransactions[[#This Row],[Date]])&gt;1),"Yes","No")</f>
        <v>No</v>
      </c>
    </row>
    <row r="449" spans="1:15" x14ac:dyDescent="0.3">
      <c r="A449" t="s">
        <v>1311</v>
      </c>
      <c r="B449" s="2">
        <v>46255.615972222222</v>
      </c>
      <c r="C449" t="s">
        <v>19</v>
      </c>
      <c r="D449" t="s">
        <v>69</v>
      </c>
      <c r="E449" s="6">
        <v>2890.1</v>
      </c>
      <c r="F449" t="s">
        <v>11</v>
      </c>
      <c r="G449" t="s">
        <v>1312</v>
      </c>
      <c r="H449" t="s">
        <v>1313</v>
      </c>
      <c r="I449" s="116">
        <f>INT(tblTransactions[[#This Row],[TransactionDate]])</f>
        <v>46255</v>
      </c>
      <c r="J449" t="str">
        <f>IF(tblTransactions[[#This Row],[ApprovalID]]="", "R2 - Missing Approval Reference", "")</f>
        <v/>
      </c>
      <c r="K449" t="str">
        <f>IF(AND(tblTransactions[[#This Row],[ApprovalID]]&lt;&gt;"",COUNTIFS(tblApprovals[TransactionID],tblTransactions[[#This Row],[TransactionID]],tblApprovals[ApprovalID],tblTransactions[[#This Row],[ApprovalID]])=0),"R3 - Missing or Mismatched Approval Record", "")</f>
        <v/>
      </c>
      <c r="L44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49" t="str">
        <f>IF(AND(tblTransactions[[#This Row],[TransactionStatus]]="Success",COUNTIF(tblSettlement[TransactionID],tblTransactions[[#This Row],[TransactionID]])=0)," R5 - Successful Transaction Not Settled", "")</f>
        <v/>
      </c>
      <c r="N449" t="str">
        <f>IF(AND(COUNTIF(tblSettlement[TransactionID],tblTransactions[[#This Row],[TransactionID]])&gt;0,tblTransactions[[#This Row],[Amount]]&lt;&gt;SUMIF(tblSettlement[TransactionID],tblTransactions[[#This Row],[TransactionID]],tblSettlement[SettledAmount]))," R6 - Settlement Amount Mismatch", "")</f>
        <v/>
      </c>
      <c r="O449" t="str">
        <f>IF(AND(tblTransactions[[#This Row],[CustomerRef]] &lt;&gt;"",COUNTIFS(tblTransactions[CustomerRef],tblTransactions[[#This Row],[CustomerRef]],tblTransactions[Amount],tblTransactions[[#This Row],[Amount]],tblTransactions[Date],tblTransactions[[#This Row],[Date]])&gt;1),"Yes","No")</f>
        <v>No</v>
      </c>
    </row>
    <row r="450" spans="1:15" x14ac:dyDescent="0.3">
      <c r="A450" t="s">
        <v>1314</v>
      </c>
      <c r="B450" s="2">
        <v>46291.694444444445</v>
      </c>
      <c r="C450" t="s">
        <v>28</v>
      </c>
      <c r="D450" t="s">
        <v>20</v>
      </c>
      <c r="E450" s="6">
        <v>58921.05</v>
      </c>
      <c r="F450" t="s">
        <v>111</v>
      </c>
      <c r="G450" t="s">
        <v>1315</v>
      </c>
      <c r="H450" t="s">
        <v>1316</v>
      </c>
      <c r="I450" s="116">
        <f>INT(tblTransactions[[#This Row],[TransactionDate]])</f>
        <v>46291</v>
      </c>
      <c r="J450" t="str">
        <f>IF(tblTransactions[[#This Row],[ApprovalID]]="", "R2 - Missing Approval Reference", "")</f>
        <v/>
      </c>
      <c r="K450" t="str">
        <f>IF(AND(tblTransactions[[#This Row],[ApprovalID]]&lt;&gt;"",COUNTIFS(tblApprovals[TransactionID],tblTransactions[[#This Row],[TransactionID]],tblApprovals[ApprovalID],tblTransactions[[#This Row],[ApprovalID]])=0),"R3 - Missing or Mismatched Approval Record", "")</f>
        <v/>
      </c>
      <c r="L45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0" t="str">
        <f>IF(AND(tblTransactions[[#This Row],[TransactionStatus]]="Success",COUNTIF(tblSettlement[TransactionID],tblTransactions[[#This Row],[TransactionID]])=0)," R5 - Successful Transaction Not Settled", "")</f>
        <v/>
      </c>
      <c r="N450" t="str">
        <f>IF(AND(COUNTIF(tblSettlement[TransactionID],tblTransactions[[#This Row],[TransactionID]])&gt;0,tblTransactions[[#This Row],[Amount]]&lt;&gt;SUMIF(tblSettlement[TransactionID],tblTransactions[[#This Row],[TransactionID]],tblSettlement[SettledAmount]))," R6 - Settlement Amount Mismatch", "")</f>
        <v/>
      </c>
      <c r="O450" t="str">
        <f>IF(AND(tblTransactions[[#This Row],[CustomerRef]] &lt;&gt;"",COUNTIFS(tblTransactions[CustomerRef],tblTransactions[[#This Row],[CustomerRef]],tblTransactions[Amount],tblTransactions[[#This Row],[Amount]],tblTransactions[Date],tblTransactions[[#This Row],[Date]])&gt;1),"Yes","No")</f>
        <v>No</v>
      </c>
    </row>
    <row r="451" spans="1:15" x14ac:dyDescent="0.3">
      <c r="A451" t="s">
        <v>1317</v>
      </c>
      <c r="B451" s="2">
        <v>46288.940972222219</v>
      </c>
      <c r="C451" t="s">
        <v>9</v>
      </c>
      <c r="D451" t="s">
        <v>20</v>
      </c>
      <c r="E451" s="6">
        <v>13789.91</v>
      </c>
      <c r="F451" t="s">
        <v>11</v>
      </c>
      <c r="G451" t="s">
        <v>1318</v>
      </c>
      <c r="H451" t="s">
        <v>1319</v>
      </c>
      <c r="I451" s="116">
        <f>INT(tblTransactions[[#This Row],[TransactionDate]])</f>
        <v>46288</v>
      </c>
      <c r="J451" t="str">
        <f>IF(tblTransactions[[#This Row],[ApprovalID]]="", "R2 - Missing Approval Reference", "")</f>
        <v/>
      </c>
      <c r="K451" t="str">
        <f>IF(AND(tblTransactions[[#This Row],[ApprovalID]]&lt;&gt;"",COUNTIFS(tblApprovals[TransactionID],tblTransactions[[#This Row],[TransactionID]],tblApprovals[ApprovalID],tblTransactions[[#This Row],[ApprovalID]])=0),"R3 - Missing or Mismatched Approval Record", "")</f>
        <v/>
      </c>
      <c r="L45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1" t="str">
        <f>IF(AND(tblTransactions[[#This Row],[TransactionStatus]]="Success",COUNTIF(tblSettlement[TransactionID],tblTransactions[[#This Row],[TransactionID]])=0)," R5 - Successful Transaction Not Settled", "")</f>
        <v/>
      </c>
      <c r="N451" t="str">
        <f>IF(AND(COUNTIF(tblSettlement[TransactionID],tblTransactions[[#This Row],[TransactionID]])&gt;0,tblTransactions[[#This Row],[Amount]]&lt;&gt;SUMIF(tblSettlement[TransactionID],tblTransactions[[#This Row],[TransactionID]],tblSettlement[SettledAmount]))," R6 - Settlement Amount Mismatch", "")</f>
        <v/>
      </c>
      <c r="O451" t="str">
        <f>IF(AND(tblTransactions[[#This Row],[CustomerRef]] &lt;&gt;"",COUNTIFS(tblTransactions[CustomerRef],tblTransactions[[#This Row],[CustomerRef]],tblTransactions[Amount],tblTransactions[[#This Row],[Amount]],tblTransactions[Date],tblTransactions[[#This Row],[Date]])&gt;1),"Yes","No")</f>
        <v>No</v>
      </c>
    </row>
    <row r="452" spans="1:15" x14ac:dyDescent="0.3">
      <c r="A452" t="s">
        <v>1320</v>
      </c>
      <c r="B452" s="2">
        <v>46291.931250000001</v>
      </c>
      <c r="C452" t="s">
        <v>9</v>
      </c>
      <c r="D452" t="s">
        <v>20</v>
      </c>
      <c r="E452" s="6">
        <v>49168.99</v>
      </c>
      <c r="F452" t="s">
        <v>11</v>
      </c>
      <c r="G452" t="s">
        <v>1321</v>
      </c>
      <c r="H452" t="s">
        <v>1322</v>
      </c>
      <c r="I452" s="116">
        <f>INT(tblTransactions[[#This Row],[TransactionDate]])</f>
        <v>46291</v>
      </c>
      <c r="J452" t="str">
        <f>IF(tblTransactions[[#This Row],[ApprovalID]]="", "R2 - Missing Approval Reference", "")</f>
        <v/>
      </c>
      <c r="K452" t="str">
        <f>IF(AND(tblTransactions[[#This Row],[ApprovalID]]&lt;&gt;"",COUNTIFS(tblApprovals[TransactionID],tblTransactions[[#This Row],[TransactionID]],tblApprovals[ApprovalID],tblTransactions[[#This Row],[ApprovalID]])=0),"R3 - Missing or Mismatched Approval Record", "")</f>
        <v/>
      </c>
      <c r="L45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2" t="str">
        <f>IF(AND(tblTransactions[[#This Row],[TransactionStatus]]="Success",COUNTIF(tblSettlement[TransactionID],tblTransactions[[#This Row],[TransactionID]])=0)," R5 - Successful Transaction Not Settled", "")</f>
        <v/>
      </c>
      <c r="N452" t="str">
        <f>IF(AND(COUNTIF(tblSettlement[TransactionID],tblTransactions[[#This Row],[TransactionID]])&gt;0,tblTransactions[[#This Row],[Amount]]&lt;&gt;SUMIF(tblSettlement[TransactionID],tblTransactions[[#This Row],[TransactionID]],tblSettlement[SettledAmount]))," R6 - Settlement Amount Mismatch", "")</f>
        <v/>
      </c>
      <c r="O452" t="str">
        <f>IF(AND(tblTransactions[[#This Row],[CustomerRef]] &lt;&gt;"",COUNTIFS(tblTransactions[CustomerRef],tblTransactions[[#This Row],[CustomerRef]],tblTransactions[Amount],tblTransactions[[#This Row],[Amount]],tblTransactions[Date],tblTransactions[[#This Row],[Date]])&gt;1),"Yes","No")</f>
        <v>No</v>
      </c>
    </row>
    <row r="453" spans="1:15" x14ac:dyDescent="0.3">
      <c r="A453" t="s">
        <v>1323</v>
      </c>
      <c r="B453" s="2">
        <v>46251.525694444441</v>
      </c>
      <c r="C453" t="s">
        <v>43</v>
      </c>
      <c r="D453" t="s">
        <v>10</v>
      </c>
      <c r="E453" s="6">
        <v>22230.32</v>
      </c>
      <c r="F453" t="s">
        <v>11</v>
      </c>
      <c r="G453" t="s">
        <v>1324</v>
      </c>
      <c r="H453" t="s">
        <v>1325</v>
      </c>
      <c r="I453" s="116">
        <f>INT(tblTransactions[[#This Row],[TransactionDate]])</f>
        <v>46251</v>
      </c>
      <c r="J453" t="str">
        <f>IF(tblTransactions[[#This Row],[ApprovalID]]="", "R2 - Missing Approval Reference", "")</f>
        <v/>
      </c>
      <c r="K453" t="str">
        <f>IF(AND(tblTransactions[[#This Row],[ApprovalID]]&lt;&gt;"",COUNTIFS(tblApprovals[TransactionID],tblTransactions[[#This Row],[TransactionID]],tblApprovals[ApprovalID],tblTransactions[[#This Row],[ApprovalID]])=0),"R3 - Missing or Mismatched Approval Record", "")</f>
        <v/>
      </c>
      <c r="L45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3" t="str">
        <f>IF(AND(tblTransactions[[#This Row],[TransactionStatus]]="Success",COUNTIF(tblSettlement[TransactionID],tblTransactions[[#This Row],[TransactionID]])=0)," R5 - Successful Transaction Not Settled", "")</f>
        <v/>
      </c>
      <c r="N453" t="str">
        <f>IF(AND(COUNTIF(tblSettlement[TransactionID],tblTransactions[[#This Row],[TransactionID]])&gt;0,tblTransactions[[#This Row],[Amount]]&lt;&gt;SUMIF(tblSettlement[TransactionID],tblTransactions[[#This Row],[TransactionID]],tblSettlement[SettledAmount]))," R6 - Settlement Amount Mismatch", "")</f>
        <v/>
      </c>
      <c r="O453" t="str">
        <f>IF(AND(tblTransactions[[#This Row],[CustomerRef]] &lt;&gt;"",COUNTIFS(tblTransactions[CustomerRef],tblTransactions[[#This Row],[CustomerRef]],tblTransactions[Amount],tblTransactions[[#This Row],[Amount]],tblTransactions[Date],tblTransactions[[#This Row],[Date]])&gt;1),"Yes","No")</f>
        <v>No</v>
      </c>
    </row>
    <row r="454" spans="1:15" x14ac:dyDescent="0.3">
      <c r="A454" t="s">
        <v>1326</v>
      </c>
      <c r="B454" s="2">
        <v>46264.925000000003</v>
      </c>
      <c r="C454" t="s">
        <v>43</v>
      </c>
      <c r="D454" t="s">
        <v>15</v>
      </c>
      <c r="E454" s="6">
        <v>37660.68</v>
      </c>
      <c r="F454" t="s">
        <v>11</v>
      </c>
      <c r="G454" t="s">
        <v>1327</v>
      </c>
      <c r="H454" t="s">
        <v>1328</v>
      </c>
      <c r="I454" s="116">
        <f>INT(tblTransactions[[#This Row],[TransactionDate]])</f>
        <v>46264</v>
      </c>
      <c r="J454" t="str">
        <f>IF(tblTransactions[[#This Row],[ApprovalID]]="", "R2 - Missing Approval Reference", "")</f>
        <v/>
      </c>
      <c r="K454" t="str">
        <f>IF(AND(tblTransactions[[#This Row],[ApprovalID]]&lt;&gt;"",COUNTIFS(tblApprovals[TransactionID],tblTransactions[[#This Row],[TransactionID]],tblApprovals[ApprovalID],tblTransactions[[#This Row],[ApprovalID]])=0),"R3 - Missing or Mismatched Approval Record", "")</f>
        <v/>
      </c>
      <c r="L45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4" t="str">
        <f>IF(AND(tblTransactions[[#This Row],[TransactionStatus]]="Success",COUNTIF(tblSettlement[TransactionID],tblTransactions[[#This Row],[TransactionID]])=0)," R5 - Successful Transaction Not Settled", "")</f>
        <v/>
      </c>
      <c r="N454" t="str">
        <f>IF(AND(COUNTIF(tblSettlement[TransactionID],tblTransactions[[#This Row],[TransactionID]])&gt;0,tblTransactions[[#This Row],[Amount]]&lt;&gt;SUMIF(tblSettlement[TransactionID],tblTransactions[[#This Row],[TransactionID]],tblSettlement[SettledAmount]))," R6 - Settlement Amount Mismatch", "")</f>
        <v/>
      </c>
      <c r="O454" t="str">
        <f>IF(AND(tblTransactions[[#This Row],[CustomerRef]] &lt;&gt;"",COUNTIFS(tblTransactions[CustomerRef],tblTransactions[[#This Row],[CustomerRef]],tblTransactions[Amount],tblTransactions[[#This Row],[Amount]],tblTransactions[Date],tblTransactions[[#This Row],[Date]])&gt;1),"Yes","No")</f>
        <v>No</v>
      </c>
    </row>
    <row r="455" spans="1:15" x14ac:dyDescent="0.3">
      <c r="A455" t="s">
        <v>1329</v>
      </c>
      <c r="B455" s="2">
        <v>46223.425000000003</v>
      </c>
      <c r="C455" t="s">
        <v>43</v>
      </c>
      <c r="D455" t="s">
        <v>69</v>
      </c>
      <c r="E455" s="6">
        <v>25864.57</v>
      </c>
      <c r="F455" t="s">
        <v>36</v>
      </c>
      <c r="G455" t="s">
        <v>1330</v>
      </c>
      <c r="H455" t="s">
        <v>1331</v>
      </c>
      <c r="I455" s="116">
        <f>INT(tblTransactions[[#This Row],[TransactionDate]])</f>
        <v>46223</v>
      </c>
      <c r="J455" t="str">
        <f>IF(tblTransactions[[#This Row],[ApprovalID]]="", "R2 - Missing Approval Reference", "")</f>
        <v/>
      </c>
      <c r="K455" t="str">
        <f>IF(AND(tblTransactions[[#This Row],[ApprovalID]]&lt;&gt;"",COUNTIFS(tblApprovals[TransactionID],tblTransactions[[#This Row],[TransactionID]],tblApprovals[ApprovalID],tblTransactions[[#This Row],[ApprovalID]])=0),"R3 - Missing or Mismatched Approval Record", "")</f>
        <v/>
      </c>
      <c r="L45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5" t="str">
        <f>IF(AND(tblTransactions[[#This Row],[TransactionStatus]]="Success",COUNTIF(tblSettlement[TransactionID],tblTransactions[[#This Row],[TransactionID]])=0)," R5 - Successful Transaction Not Settled", "")</f>
        <v/>
      </c>
      <c r="N455" t="str">
        <f>IF(AND(COUNTIF(tblSettlement[TransactionID],tblTransactions[[#This Row],[TransactionID]])&gt;0,tblTransactions[[#This Row],[Amount]]&lt;&gt;SUMIF(tblSettlement[TransactionID],tblTransactions[[#This Row],[TransactionID]],tblSettlement[SettledAmount]))," R6 - Settlement Amount Mismatch", "")</f>
        <v/>
      </c>
      <c r="O455" t="str">
        <f>IF(AND(tblTransactions[[#This Row],[CustomerRef]] &lt;&gt;"",COUNTIFS(tblTransactions[CustomerRef],tblTransactions[[#This Row],[CustomerRef]],tblTransactions[Amount],tblTransactions[[#This Row],[Amount]],tblTransactions[Date],tblTransactions[[#This Row],[Date]])&gt;1),"Yes","No")</f>
        <v>No</v>
      </c>
    </row>
    <row r="456" spans="1:15" x14ac:dyDescent="0.3">
      <c r="A456" t="s">
        <v>1332</v>
      </c>
      <c r="B456" s="2">
        <v>46214.63958333333</v>
      </c>
      <c r="C456" t="s">
        <v>28</v>
      </c>
      <c r="D456" t="s">
        <v>10</v>
      </c>
      <c r="E456" s="6">
        <v>47419.7</v>
      </c>
      <c r="F456" t="s">
        <v>11</v>
      </c>
      <c r="H456" t="s">
        <v>1333</v>
      </c>
      <c r="I456" s="116">
        <f>INT(tblTransactions[[#This Row],[TransactionDate]])</f>
        <v>46214</v>
      </c>
      <c r="J456" t="str">
        <f>IF(tblTransactions[[#This Row],[ApprovalID]]="", "R2 - Missing Approval Reference", "")</f>
        <v>R2 - Missing Approval Reference</v>
      </c>
      <c r="K456" t="str">
        <f>IF(AND(tblTransactions[[#This Row],[ApprovalID]]&lt;&gt;"",COUNTIFS(tblApprovals[TransactionID],tblTransactions[[#This Row],[TransactionID]],tblApprovals[ApprovalID],tblTransactions[[#This Row],[ApprovalID]])=0),"R3 - Missing or Mismatched Approval Record", "")</f>
        <v/>
      </c>
      <c r="L45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6" t="str">
        <f>IF(AND(tblTransactions[[#This Row],[TransactionStatus]]="Success",COUNTIF(tblSettlement[TransactionID],tblTransactions[[#This Row],[TransactionID]])=0)," R5 - Successful Transaction Not Settled", "")</f>
        <v/>
      </c>
      <c r="N456" t="str">
        <f>IF(AND(COUNTIF(tblSettlement[TransactionID],tblTransactions[[#This Row],[TransactionID]])&gt;0,tblTransactions[[#This Row],[Amount]]&lt;&gt;SUMIF(tblSettlement[TransactionID],tblTransactions[[#This Row],[TransactionID]],tblSettlement[SettledAmount]))," R6 - Settlement Amount Mismatch", "")</f>
        <v/>
      </c>
      <c r="O456" t="str">
        <f>IF(AND(tblTransactions[[#This Row],[CustomerRef]] &lt;&gt;"",COUNTIFS(tblTransactions[CustomerRef],tblTransactions[[#This Row],[CustomerRef]],tblTransactions[Amount],tblTransactions[[#This Row],[Amount]],tblTransactions[Date],tblTransactions[[#This Row],[Date]])&gt;1),"Yes","No")</f>
        <v>No</v>
      </c>
    </row>
    <row r="457" spans="1:15" x14ac:dyDescent="0.3">
      <c r="A457" t="s">
        <v>1334</v>
      </c>
      <c r="B457" s="2">
        <v>46230.867361111108</v>
      </c>
      <c r="C457" t="s">
        <v>43</v>
      </c>
      <c r="D457" t="s">
        <v>10</v>
      </c>
      <c r="E457" s="6">
        <v>12853.28</v>
      </c>
      <c r="F457" t="s">
        <v>11</v>
      </c>
      <c r="G457" t="s">
        <v>1335</v>
      </c>
      <c r="H457" t="s">
        <v>1336</v>
      </c>
      <c r="I457" s="116">
        <f>INT(tblTransactions[[#This Row],[TransactionDate]])</f>
        <v>46230</v>
      </c>
      <c r="J457" t="str">
        <f>IF(tblTransactions[[#This Row],[ApprovalID]]="", "R2 - Missing Approval Reference", "")</f>
        <v/>
      </c>
      <c r="K457" t="str">
        <f>IF(AND(tblTransactions[[#This Row],[ApprovalID]]&lt;&gt;"",COUNTIFS(tblApprovals[TransactionID],tblTransactions[[#This Row],[TransactionID]],tblApprovals[ApprovalID],tblTransactions[[#This Row],[ApprovalID]])=0),"R3 - Missing or Mismatched Approval Record", "")</f>
        <v/>
      </c>
      <c r="L45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7" t="str">
        <f>IF(AND(tblTransactions[[#This Row],[TransactionStatus]]="Success",COUNTIF(tblSettlement[TransactionID],tblTransactions[[#This Row],[TransactionID]])=0)," R5 - Successful Transaction Not Settled", "")</f>
        <v/>
      </c>
      <c r="N457" t="str">
        <f>IF(AND(COUNTIF(tblSettlement[TransactionID],tblTransactions[[#This Row],[TransactionID]])&gt;0,tblTransactions[[#This Row],[Amount]]&lt;&gt;SUMIF(tblSettlement[TransactionID],tblTransactions[[#This Row],[TransactionID]],tblSettlement[SettledAmount]))," R6 - Settlement Amount Mismatch", "")</f>
        <v/>
      </c>
      <c r="O457" t="str">
        <f>IF(AND(tblTransactions[[#This Row],[CustomerRef]] &lt;&gt;"",COUNTIFS(tblTransactions[CustomerRef],tblTransactions[[#This Row],[CustomerRef]],tblTransactions[Amount],tblTransactions[[#This Row],[Amount]],tblTransactions[Date],tblTransactions[[#This Row],[Date]])&gt;1),"Yes","No")</f>
        <v>No</v>
      </c>
    </row>
    <row r="458" spans="1:15" x14ac:dyDescent="0.3">
      <c r="A458" t="s">
        <v>1337</v>
      </c>
      <c r="B458" s="2">
        <v>46285.600694444445</v>
      </c>
      <c r="C458" t="s">
        <v>47</v>
      </c>
      <c r="D458" t="s">
        <v>10</v>
      </c>
      <c r="E458" s="6">
        <v>32319.65</v>
      </c>
      <c r="F458" t="s">
        <v>11</v>
      </c>
      <c r="G458" t="s">
        <v>1338</v>
      </c>
      <c r="H458" t="s">
        <v>1339</v>
      </c>
      <c r="I458" s="116">
        <f>INT(tblTransactions[[#This Row],[TransactionDate]])</f>
        <v>46285</v>
      </c>
      <c r="J458" t="str">
        <f>IF(tblTransactions[[#This Row],[ApprovalID]]="", "R2 - Missing Approval Reference", "")</f>
        <v/>
      </c>
      <c r="K458" t="str">
        <f>IF(AND(tblTransactions[[#This Row],[ApprovalID]]&lt;&gt;"",COUNTIFS(tblApprovals[TransactionID],tblTransactions[[#This Row],[TransactionID]],tblApprovals[ApprovalID],tblTransactions[[#This Row],[ApprovalID]])=0),"R3 - Missing or Mismatched Approval Record", "")</f>
        <v/>
      </c>
      <c r="L45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8" t="str">
        <f>IF(AND(tblTransactions[[#This Row],[TransactionStatus]]="Success",COUNTIF(tblSettlement[TransactionID],tblTransactions[[#This Row],[TransactionID]])=0)," R5 - Successful Transaction Not Settled", "")</f>
        <v/>
      </c>
      <c r="N458" t="str">
        <f>IF(AND(COUNTIF(tblSettlement[TransactionID],tblTransactions[[#This Row],[TransactionID]])&gt;0,tblTransactions[[#This Row],[Amount]]&lt;&gt;SUMIF(tblSettlement[TransactionID],tblTransactions[[#This Row],[TransactionID]],tblSettlement[SettledAmount]))," R6 - Settlement Amount Mismatch", "")</f>
        <v/>
      </c>
      <c r="O458" t="str">
        <f>IF(AND(tblTransactions[[#This Row],[CustomerRef]] &lt;&gt;"",COUNTIFS(tblTransactions[CustomerRef],tblTransactions[[#This Row],[CustomerRef]],tblTransactions[Amount],tblTransactions[[#This Row],[Amount]],tblTransactions[Date],tblTransactions[[#This Row],[Date]])&gt;1),"Yes","No")</f>
        <v>No</v>
      </c>
    </row>
    <row r="459" spans="1:15" x14ac:dyDescent="0.3">
      <c r="A459" t="s">
        <v>1340</v>
      </c>
      <c r="B459" s="2">
        <v>46205.930555555555</v>
      </c>
      <c r="C459" t="s">
        <v>47</v>
      </c>
      <c r="D459" t="s">
        <v>10</v>
      </c>
      <c r="E459" s="6">
        <v>56824.37</v>
      </c>
      <c r="F459" t="s">
        <v>11</v>
      </c>
      <c r="G459" t="s">
        <v>1341</v>
      </c>
      <c r="H459" t="s">
        <v>1342</v>
      </c>
      <c r="I459" s="116">
        <f>INT(tblTransactions[[#This Row],[TransactionDate]])</f>
        <v>46205</v>
      </c>
      <c r="J459" t="str">
        <f>IF(tblTransactions[[#This Row],[ApprovalID]]="", "R2 - Missing Approval Reference", "")</f>
        <v/>
      </c>
      <c r="K459" t="str">
        <f>IF(AND(tblTransactions[[#This Row],[ApprovalID]]&lt;&gt;"",COUNTIFS(tblApprovals[TransactionID],tblTransactions[[#This Row],[TransactionID]],tblApprovals[ApprovalID],tblTransactions[[#This Row],[ApprovalID]])=0),"R3 - Missing or Mismatched Approval Record", "")</f>
        <v/>
      </c>
      <c r="L45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59" t="str">
        <f>IF(AND(tblTransactions[[#This Row],[TransactionStatus]]="Success",COUNTIF(tblSettlement[TransactionID],tblTransactions[[#This Row],[TransactionID]])=0)," R5 - Successful Transaction Not Settled", "")</f>
        <v/>
      </c>
      <c r="N459" t="str">
        <f>IF(AND(COUNTIF(tblSettlement[TransactionID],tblTransactions[[#This Row],[TransactionID]])&gt;0,tblTransactions[[#This Row],[Amount]]&lt;&gt;SUMIF(tblSettlement[TransactionID],tblTransactions[[#This Row],[TransactionID]],tblSettlement[SettledAmount]))," R6 - Settlement Amount Mismatch", "")</f>
        <v/>
      </c>
      <c r="O459" t="str">
        <f>IF(AND(tblTransactions[[#This Row],[CustomerRef]] &lt;&gt;"",COUNTIFS(tblTransactions[CustomerRef],tblTransactions[[#This Row],[CustomerRef]],tblTransactions[Amount],tblTransactions[[#This Row],[Amount]],tblTransactions[Date],tblTransactions[[#This Row],[Date]])&gt;1),"Yes","No")</f>
        <v>No</v>
      </c>
    </row>
    <row r="460" spans="1:15" x14ac:dyDescent="0.3">
      <c r="A460" t="s">
        <v>1343</v>
      </c>
      <c r="B460" s="2">
        <v>46232.830555555556</v>
      </c>
      <c r="C460" t="s">
        <v>43</v>
      </c>
      <c r="D460" t="s">
        <v>15</v>
      </c>
      <c r="E460" s="6">
        <v>25990.15</v>
      </c>
      <c r="F460" t="s">
        <v>11</v>
      </c>
      <c r="G460" t="s">
        <v>1344</v>
      </c>
      <c r="H460" t="s">
        <v>1345</v>
      </c>
      <c r="I460" s="116">
        <f>INT(tblTransactions[[#This Row],[TransactionDate]])</f>
        <v>46232</v>
      </c>
      <c r="J460" t="str">
        <f>IF(tblTransactions[[#This Row],[ApprovalID]]="", "R2 - Missing Approval Reference", "")</f>
        <v/>
      </c>
      <c r="K460" t="str">
        <f>IF(AND(tblTransactions[[#This Row],[ApprovalID]]&lt;&gt;"",COUNTIFS(tblApprovals[TransactionID],tblTransactions[[#This Row],[TransactionID]],tblApprovals[ApprovalID],tblTransactions[[#This Row],[ApprovalID]])=0),"R3 - Missing or Mismatched Approval Record", "")</f>
        <v/>
      </c>
      <c r="L46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0" t="str">
        <f>IF(AND(tblTransactions[[#This Row],[TransactionStatus]]="Success",COUNTIF(tblSettlement[TransactionID],tblTransactions[[#This Row],[TransactionID]])=0)," R5 - Successful Transaction Not Settled", "")</f>
        <v/>
      </c>
      <c r="N460" t="str">
        <f>IF(AND(COUNTIF(tblSettlement[TransactionID],tblTransactions[[#This Row],[TransactionID]])&gt;0,tblTransactions[[#This Row],[Amount]]&lt;&gt;SUMIF(tblSettlement[TransactionID],tblTransactions[[#This Row],[TransactionID]],tblSettlement[SettledAmount]))," R6 - Settlement Amount Mismatch", "")</f>
        <v/>
      </c>
      <c r="O460" t="str">
        <f>IF(AND(tblTransactions[[#This Row],[CustomerRef]] &lt;&gt;"",COUNTIFS(tblTransactions[CustomerRef],tblTransactions[[#This Row],[CustomerRef]],tblTransactions[Amount],tblTransactions[[#This Row],[Amount]],tblTransactions[Date],tblTransactions[[#This Row],[Date]])&gt;1),"Yes","No")</f>
        <v>No</v>
      </c>
    </row>
    <row r="461" spans="1:15" x14ac:dyDescent="0.3">
      <c r="A461" t="s">
        <v>1346</v>
      </c>
      <c r="B461" s="2">
        <v>46212.876388888886</v>
      </c>
      <c r="C461" t="s">
        <v>28</v>
      </c>
      <c r="D461" t="s">
        <v>15</v>
      </c>
      <c r="E461" s="6">
        <v>22540.62</v>
      </c>
      <c r="F461" t="s">
        <v>11</v>
      </c>
      <c r="G461" t="s">
        <v>1347</v>
      </c>
      <c r="H461" t="s">
        <v>1348</v>
      </c>
      <c r="I461" s="116">
        <f>INT(tblTransactions[[#This Row],[TransactionDate]])</f>
        <v>46212</v>
      </c>
      <c r="J461" t="str">
        <f>IF(tblTransactions[[#This Row],[ApprovalID]]="", "R2 - Missing Approval Reference", "")</f>
        <v/>
      </c>
      <c r="K461" t="str">
        <f>IF(AND(tblTransactions[[#This Row],[ApprovalID]]&lt;&gt;"",COUNTIFS(tblApprovals[TransactionID],tblTransactions[[#This Row],[TransactionID]],tblApprovals[ApprovalID],tblTransactions[[#This Row],[ApprovalID]])=0),"R3 - Missing or Mismatched Approval Record", "")</f>
        <v/>
      </c>
      <c r="L46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1" t="str">
        <f>IF(AND(tblTransactions[[#This Row],[TransactionStatus]]="Success",COUNTIF(tblSettlement[TransactionID],tblTransactions[[#This Row],[TransactionID]])=0)," R5 - Successful Transaction Not Settled", "")</f>
        <v/>
      </c>
      <c r="N461" t="str">
        <f>IF(AND(COUNTIF(tblSettlement[TransactionID],tblTransactions[[#This Row],[TransactionID]])&gt;0,tblTransactions[[#This Row],[Amount]]&lt;&gt;SUMIF(tblSettlement[TransactionID],tblTransactions[[#This Row],[TransactionID]],tblSettlement[SettledAmount]))," R6 - Settlement Amount Mismatch", "")</f>
        <v/>
      </c>
      <c r="O461" t="str">
        <f>IF(AND(tblTransactions[[#This Row],[CustomerRef]] &lt;&gt;"",COUNTIFS(tblTransactions[CustomerRef],tblTransactions[[#This Row],[CustomerRef]],tblTransactions[Amount],tblTransactions[[#This Row],[Amount]],tblTransactions[Date],tblTransactions[[#This Row],[Date]])&gt;1),"Yes","No")</f>
        <v>No</v>
      </c>
    </row>
    <row r="462" spans="1:15" x14ac:dyDescent="0.3">
      <c r="A462" t="s">
        <v>1349</v>
      </c>
      <c r="B462" s="2">
        <v>46259.946527777778</v>
      </c>
      <c r="C462" t="s">
        <v>43</v>
      </c>
      <c r="D462" t="s">
        <v>20</v>
      </c>
      <c r="E462" s="6">
        <v>74661.56</v>
      </c>
      <c r="F462" t="s">
        <v>11</v>
      </c>
      <c r="G462" t="s">
        <v>1350</v>
      </c>
      <c r="H462" t="s">
        <v>1351</v>
      </c>
      <c r="I462" s="116">
        <f>INT(tblTransactions[[#This Row],[TransactionDate]])</f>
        <v>46259</v>
      </c>
      <c r="J462" t="str">
        <f>IF(tblTransactions[[#This Row],[ApprovalID]]="", "R2 - Missing Approval Reference", "")</f>
        <v/>
      </c>
      <c r="K462" t="str">
        <f>IF(AND(tblTransactions[[#This Row],[ApprovalID]]&lt;&gt;"",COUNTIFS(tblApprovals[TransactionID],tblTransactions[[#This Row],[TransactionID]],tblApprovals[ApprovalID],tblTransactions[[#This Row],[ApprovalID]])=0),"R3 - Missing or Mismatched Approval Record", "")</f>
        <v/>
      </c>
      <c r="L46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2" t="str">
        <f>IF(AND(tblTransactions[[#This Row],[TransactionStatus]]="Success",COUNTIF(tblSettlement[TransactionID],tblTransactions[[#This Row],[TransactionID]])=0)," R5 - Successful Transaction Not Settled", "")</f>
        <v/>
      </c>
      <c r="N462" t="str">
        <f>IF(AND(COUNTIF(tblSettlement[TransactionID],tblTransactions[[#This Row],[TransactionID]])&gt;0,tblTransactions[[#This Row],[Amount]]&lt;&gt;SUMIF(tblSettlement[TransactionID],tblTransactions[[#This Row],[TransactionID]],tblSettlement[SettledAmount]))," R6 - Settlement Amount Mismatch", "")</f>
        <v/>
      </c>
      <c r="O462" t="str">
        <f>IF(AND(tblTransactions[[#This Row],[CustomerRef]] &lt;&gt;"",COUNTIFS(tblTransactions[CustomerRef],tblTransactions[[#This Row],[CustomerRef]],tblTransactions[Amount],tblTransactions[[#This Row],[Amount]],tblTransactions[Date],tblTransactions[[#This Row],[Date]])&gt;1),"Yes","No")</f>
        <v>No</v>
      </c>
    </row>
    <row r="463" spans="1:15" x14ac:dyDescent="0.3">
      <c r="A463" t="s">
        <v>1352</v>
      </c>
      <c r="B463" s="2">
        <v>46255.343055555553</v>
      </c>
      <c r="C463" t="s">
        <v>9</v>
      </c>
      <c r="D463" t="s">
        <v>10</v>
      </c>
      <c r="E463" s="6">
        <v>17018.02</v>
      </c>
      <c r="F463" t="s">
        <v>36</v>
      </c>
      <c r="G463" t="s">
        <v>1353</v>
      </c>
      <c r="H463" t="s">
        <v>1354</v>
      </c>
      <c r="I463" s="116">
        <f>INT(tblTransactions[[#This Row],[TransactionDate]])</f>
        <v>46255</v>
      </c>
      <c r="J463" t="str">
        <f>IF(tblTransactions[[#This Row],[ApprovalID]]="", "R2 - Missing Approval Reference", "")</f>
        <v/>
      </c>
      <c r="K463" t="str">
        <f>IF(AND(tblTransactions[[#This Row],[ApprovalID]]&lt;&gt;"",COUNTIFS(tblApprovals[TransactionID],tblTransactions[[#This Row],[TransactionID]],tblApprovals[ApprovalID],tblTransactions[[#This Row],[ApprovalID]])=0),"R3 - Missing or Mismatched Approval Record", "")</f>
        <v>R3 - Missing or Mismatched Approval Record</v>
      </c>
      <c r="L46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3" t="str">
        <f>IF(AND(tblTransactions[[#This Row],[TransactionStatus]]="Success",COUNTIF(tblSettlement[TransactionID],tblTransactions[[#This Row],[TransactionID]])=0)," R5 - Successful Transaction Not Settled", "")</f>
        <v/>
      </c>
      <c r="N463" t="str">
        <f>IF(AND(COUNTIF(tblSettlement[TransactionID],tblTransactions[[#This Row],[TransactionID]])&gt;0,tblTransactions[[#This Row],[Amount]]&lt;&gt;SUMIF(tblSettlement[TransactionID],tblTransactions[[#This Row],[TransactionID]],tblSettlement[SettledAmount]))," R6 - Settlement Amount Mismatch", "")</f>
        <v/>
      </c>
      <c r="O463" t="str">
        <f>IF(AND(tblTransactions[[#This Row],[CustomerRef]] &lt;&gt;"",COUNTIFS(tblTransactions[CustomerRef],tblTransactions[[#This Row],[CustomerRef]],tblTransactions[Amount],tblTransactions[[#This Row],[Amount]],tblTransactions[Date],tblTransactions[[#This Row],[Date]])&gt;1),"Yes","No")</f>
        <v>No</v>
      </c>
    </row>
    <row r="464" spans="1:15" x14ac:dyDescent="0.3">
      <c r="A464" t="s">
        <v>1355</v>
      </c>
      <c r="B464" s="2">
        <v>46219.572916666664</v>
      </c>
      <c r="C464" t="s">
        <v>28</v>
      </c>
      <c r="D464" t="s">
        <v>20</v>
      </c>
      <c r="E464" s="6">
        <v>48877.89</v>
      </c>
      <c r="F464" t="s">
        <v>11</v>
      </c>
      <c r="G464" t="s">
        <v>1356</v>
      </c>
      <c r="H464" t="s">
        <v>1357</v>
      </c>
      <c r="I464" s="116">
        <f>INT(tblTransactions[[#This Row],[TransactionDate]])</f>
        <v>46219</v>
      </c>
      <c r="J464" t="str">
        <f>IF(tblTransactions[[#This Row],[ApprovalID]]="", "R2 - Missing Approval Reference", "")</f>
        <v/>
      </c>
      <c r="K464" t="str">
        <f>IF(AND(tblTransactions[[#This Row],[ApprovalID]]&lt;&gt;"",COUNTIFS(tblApprovals[TransactionID],tblTransactions[[#This Row],[TransactionID]],tblApprovals[ApprovalID],tblTransactions[[#This Row],[ApprovalID]])=0),"R3 - Missing or Mismatched Approval Record", "")</f>
        <v/>
      </c>
      <c r="L46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4" t="str">
        <f>IF(AND(tblTransactions[[#This Row],[TransactionStatus]]="Success",COUNTIF(tblSettlement[TransactionID],tblTransactions[[#This Row],[TransactionID]])=0)," R5 - Successful Transaction Not Settled", "")</f>
        <v/>
      </c>
      <c r="N464" t="str">
        <f>IF(AND(COUNTIF(tblSettlement[TransactionID],tblTransactions[[#This Row],[TransactionID]])&gt;0,tblTransactions[[#This Row],[Amount]]&lt;&gt;SUMIF(tblSettlement[TransactionID],tblTransactions[[#This Row],[TransactionID]],tblSettlement[SettledAmount]))," R6 - Settlement Amount Mismatch", "")</f>
        <v/>
      </c>
      <c r="O464" t="str">
        <f>IF(AND(tblTransactions[[#This Row],[CustomerRef]] &lt;&gt;"",COUNTIFS(tblTransactions[CustomerRef],tblTransactions[[#This Row],[CustomerRef]],tblTransactions[Amount],tblTransactions[[#This Row],[Amount]],tblTransactions[Date],tblTransactions[[#This Row],[Date]])&gt;1),"Yes","No")</f>
        <v>No</v>
      </c>
    </row>
    <row r="465" spans="1:15" x14ac:dyDescent="0.3">
      <c r="A465" t="s">
        <v>1358</v>
      </c>
      <c r="B465" s="2">
        <v>46280.362500000003</v>
      </c>
      <c r="C465" t="s">
        <v>47</v>
      </c>
      <c r="D465" t="s">
        <v>10</v>
      </c>
      <c r="E465" s="6">
        <v>8331.48</v>
      </c>
      <c r="F465" t="s">
        <v>11</v>
      </c>
      <c r="G465" t="s">
        <v>1359</v>
      </c>
      <c r="H465" t="s">
        <v>1360</v>
      </c>
      <c r="I465" s="116">
        <f>INT(tblTransactions[[#This Row],[TransactionDate]])</f>
        <v>46280</v>
      </c>
      <c r="J465" t="str">
        <f>IF(tblTransactions[[#This Row],[ApprovalID]]="", "R2 - Missing Approval Reference", "")</f>
        <v/>
      </c>
      <c r="K465" t="str">
        <f>IF(AND(tblTransactions[[#This Row],[ApprovalID]]&lt;&gt;"",COUNTIFS(tblApprovals[TransactionID],tblTransactions[[#This Row],[TransactionID]],tblApprovals[ApprovalID],tblTransactions[[#This Row],[ApprovalID]])=0),"R3 - Missing or Mismatched Approval Record", "")</f>
        <v/>
      </c>
      <c r="L46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5" t="str">
        <f>IF(AND(tblTransactions[[#This Row],[TransactionStatus]]="Success",COUNTIF(tblSettlement[TransactionID],tblTransactions[[#This Row],[TransactionID]])=0)," R5 - Successful Transaction Not Settled", "")</f>
        <v/>
      </c>
      <c r="N465" t="str">
        <f>IF(AND(COUNTIF(tblSettlement[TransactionID],tblTransactions[[#This Row],[TransactionID]])&gt;0,tblTransactions[[#This Row],[Amount]]&lt;&gt;SUMIF(tblSettlement[TransactionID],tblTransactions[[#This Row],[TransactionID]],tblSettlement[SettledAmount]))," R6 - Settlement Amount Mismatch", "")</f>
        <v/>
      </c>
      <c r="O465" t="str">
        <f>IF(AND(tblTransactions[[#This Row],[CustomerRef]] &lt;&gt;"",COUNTIFS(tblTransactions[CustomerRef],tblTransactions[[#This Row],[CustomerRef]],tblTransactions[Amount],tblTransactions[[#This Row],[Amount]],tblTransactions[Date],tblTransactions[[#This Row],[Date]])&gt;1),"Yes","No")</f>
        <v>No</v>
      </c>
    </row>
    <row r="466" spans="1:15" x14ac:dyDescent="0.3">
      <c r="A466" t="s">
        <v>1361</v>
      </c>
      <c r="B466" s="2">
        <v>46219.677777777775</v>
      </c>
      <c r="C466" t="s">
        <v>28</v>
      </c>
      <c r="D466" t="s">
        <v>10</v>
      </c>
      <c r="E466" s="6">
        <v>35711.129999999997</v>
      </c>
      <c r="F466" t="s">
        <v>11</v>
      </c>
      <c r="G466" t="s">
        <v>1362</v>
      </c>
      <c r="H466" t="s">
        <v>1258</v>
      </c>
      <c r="I466" s="116">
        <f>INT(tblTransactions[[#This Row],[TransactionDate]])</f>
        <v>46219</v>
      </c>
      <c r="J466" t="str">
        <f>IF(tblTransactions[[#This Row],[ApprovalID]]="", "R2 - Missing Approval Reference", "")</f>
        <v/>
      </c>
      <c r="K466" t="str">
        <f>IF(AND(tblTransactions[[#This Row],[ApprovalID]]&lt;&gt;"",COUNTIFS(tblApprovals[TransactionID],tblTransactions[[#This Row],[TransactionID]],tblApprovals[ApprovalID],tblTransactions[[#This Row],[ApprovalID]])=0),"R3 - Missing or Mismatched Approval Record", "")</f>
        <v/>
      </c>
      <c r="L46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6" t="str">
        <f>IF(AND(tblTransactions[[#This Row],[TransactionStatus]]="Success",COUNTIF(tblSettlement[TransactionID],tblTransactions[[#This Row],[TransactionID]])=0)," R5 - Successful Transaction Not Settled", "")</f>
        <v/>
      </c>
      <c r="N466" t="str">
        <f>IF(AND(COUNTIF(tblSettlement[TransactionID],tblTransactions[[#This Row],[TransactionID]])&gt;0,tblTransactions[[#This Row],[Amount]]&lt;&gt;SUMIF(tblSettlement[TransactionID],tblTransactions[[#This Row],[TransactionID]],tblSettlement[SettledAmount]))," R6 - Settlement Amount Mismatch", "")</f>
        <v/>
      </c>
      <c r="O466" t="str">
        <f>IF(AND(tblTransactions[[#This Row],[CustomerRef]] &lt;&gt;"",COUNTIFS(tblTransactions[CustomerRef],tblTransactions[[#This Row],[CustomerRef]],tblTransactions[Amount],tblTransactions[[#This Row],[Amount]],tblTransactions[Date],tblTransactions[[#This Row],[Date]])&gt;1),"Yes","No")</f>
        <v>No</v>
      </c>
    </row>
    <row r="467" spans="1:15" x14ac:dyDescent="0.3">
      <c r="A467" t="s">
        <v>1363</v>
      </c>
      <c r="B467" s="2">
        <v>46288.678472222222</v>
      </c>
      <c r="C467" t="s">
        <v>43</v>
      </c>
      <c r="D467" t="s">
        <v>10</v>
      </c>
      <c r="E467" s="6">
        <v>46804.13</v>
      </c>
      <c r="F467" t="s">
        <v>11</v>
      </c>
      <c r="G467" t="s">
        <v>1364</v>
      </c>
      <c r="H467" t="s">
        <v>1365</v>
      </c>
      <c r="I467" s="116">
        <f>INT(tblTransactions[[#This Row],[TransactionDate]])</f>
        <v>46288</v>
      </c>
      <c r="J467" t="str">
        <f>IF(tblTransactions[[#This Row],[ApprovalID]]="", "R2 - Missing Approval Reference", "")</f>
        <v/>
      </c>
      <c r="K467" t="str">
        <f>IF(AND(tblTransactions[[#This Row],[ApprovalID]]&lt;&gt;"",COUNTIFS(tblApprovals[TransactionID],tblTransactions[[#This Row],[TransactionID]],tblApprovals[ApprovalID],tblTransactions[[#This Row],[ApprovalID]])=0),"R3 - Missing or Mismatched Approval Record", "")</f>
        <v/>
      </c>
      <c r="L46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7" t="str">
        <f>IF(AND(tblTransactions[[#This Row],[TransactionStatus]]="Success",COUNTIF(tblSettlement[TransactionID],tblTransactions[[#This Row],[TransactionID]])=0)," R5 - Successful Transaction Not Settled", "")</f>
        <v/>
      </c>
      <c r="N467" t="str">
        <f>IF(AND(COUNTIF(tblSettlement[TransactionID],tblTransactions[[#This Row],[TransactionID]])&gt;0,tblTransactions[[#This Row],[Amount]]&lt;&gt;SUMIF(tblSettlement[TransactionID],tblTransactions[[#This Row],[TransactionID]],tblSettlement[SettledAmount]))," R6 - Settlement Amount Mismatch", "")</f>
        <v/>
      </c>
      <c r="O467" t="str">
        <f>IF(AND(tblTransactions[[#This Row],[CustomerRef]] &lt;&gt;"",COUNTIFS(tblTransactions[CustomerRef],tblTransactions[[#This Row],[CustomerRef]],tblTransactions[Amount],tblTransactions[[#This Row],[Amount]],tblTransactions[Date],tblTransactions[[#This Row],[Date]])&gt;1),"Yes","No")</f>
        <v>No</v>
      </c>
    </row>
    <row r="468" spans="1:15" x14ac:dyDescent="0.3">
      <c r="A468" t="s">
        <v>1366</v>
      </c>
      <c r="B468" s="2">
        <v>46240.409722222219</v>
      </c>
      <c r="C468" t="s">
        <v>9</v>
      </c>
      <c r="D468" t="s">
        <v>20</v>
      </c>
      <c r="E468" s="6">
        <v>8193.2099999999991</v>
      </c>
      <c r="F468" t="s">
        <v>11</v>
      </c>
      <c r="G468" t="s">
        <v>1367</v>
      </c>
      <c r="H468" t="s">
        <v>1368</v>
      </c>
      <c r="I468" s="116">
        <f>INT(tblTransactions[[#This Row],[TransactionDate]])</f>
        <v>46240</v>
      </c>
      <c r="J468" t="str">
        <f>IF(tblTransactions[[#This Row],[ApprovalID]]="", "R2 - Missing Approval Reference", "")</f>
        <v/>
      </c>
      <c r="K468" t="str">
        <f>IF(AND(tblTransactions[[#This Row],[ApprovalID]]&lt;&gt;"",COUNTIFS(tblApprovals[TransactionID],tblTransactions[[#This Row],[TransactionID]],tblApprovals[ApprovalID],tblTransactions[[#This Row],[ApprovalID]])=0),"R3 - Missing or Mismatched Approval Record", "")</f>
        <v/>
      </c>
      <c r="L46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468" t="str">
        <f>IF(AND(tblTransactions[[#This Row],[TransactionStatus]]="Success",COUNTIF(tblSettlement[TransactionID],tblTransactions[[#This Row],[TransactionID]])=0)," R5 - Successful Transaction Not Settled", "")</f>
        <v/>
      </c>
      <c r="N468" t="str">
        <f>IF(AND(COUNTIF(tblSettlement[TransactionID],tblTransactions[[#This Row],[TransactionID]])&gt;0,tblTransactions[[#This Row],[Amount]]&lt;&gt;SUMIF(tblSettlement[TransactionID],tblTransactions[[#This Row],[TransactionID]],tblSettlement[SettledAmount]))," R6 - Settlement Amount Mismatch", "")</f>
        <v/>
      </c>
      <c r="O468" t="str">
        <f>IF(AND(tblTransactions[[#This Row],[CustomerRef]] &lt;&gt;"",COUNTIFS(tblTransactions[CustomerRef],tblTransactions[[#This Row],[CustomerRef]],tblTransactions[Amount],tblTransactions[[#This Row],[Amount]],tblTransactions[Date],tblTransactions[[#This Row],[Date]])&gt;1),"Yes","No")</f>
        <v>No</v>
      </c>
    </row>
    <row r="469" spans="1:15" x14ac:dyDescent="0.3">
      <c r="A469" t="s">
        <v>1369</v>
      </c>
      <c r="B469" s="2">
        <v>46249.80972222222</v>
      </c>
      <c r="C469" t="s">
        <v>43</v>
      </c>
      <c r="D469" t="s">
        <v>69</v>
      </c>
      <c r="E469" s="6">
        <v>22327.5</v>
      </c>
      <c r="F469" t="s">
        <v>11</v>
      </c>
      <c r="G469" t="s">
        <v>1370</v>
      </c>
      <c r="H469" t="s">
        <v>1371</v>
      </c>
      <c r="I469" s="116">
        <f>INT(tblTransactions[[#This Row],[TransactionDate]])</f>
        <v>46249</v>
      </c>
      <c r="J469" t="str">
        <f>IF(tblTransactions[[#This Row],[ApprovalID]]="", "R2 - Missing Approval Reference", "")</f>
        <v/>
      </c>
      <c r="K469" t="str">
        <f>IF(AND(tblTransactions[[#This Row],[ApprovalID]]&lt;&gt;"",COUNTIFS(tblApprovals[TransactionID],tblTransactions[[#This Row],[TransactionID]],tblApprovals[ApprovalID],tblTransactions[[#This Row],[ApprovalID]])=0),"R3 - Missing or Mismatched Approval Record", "")</f>
        <v/>
      </c>
      <c r="L46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69" t="str">
        <f>IF(AND(tblTransactions[[#This Row],[TransactionStatus]]="Success",COUNTIF(tblSettlement[TransactionID],tblTransactions[[#This Row],[TransactionID]])=0)," R5 - Successful Transaction Not Settled", "")</f>
        <v/>
      </c>
      <c r="N469" t="str">
        <f>IF(AND(COUNTIF(tblSettlement[TransactionID],tblTransactions[[#This Row],[TransactionID]])&gt;0,tblTransactions[[#This Row],[Amount]]&lt;&gt;SUMIF(tblSettlement[TransactionID],tblTransactions[[#This Row],[TransactionID]],tblSettlement[SettledAmount]))," R6 - Settlement Amount Mismatch", "")</f>
        <v/>
      </c>
      <c r="O469" t="str">
        <f>IF(AND(tblTransactions[[#This Row],[CustomerRef]] &lt;&gt;"",COUNTIFS(tblTransactions[CustomerRef],tblTransactions[[#This Row],[CustomerRef]],tblTransactions[Amount],tblTransactions[[#This Row],[Amount]],tblTransactions[Date],tblTransactions[[#This Row],[Date]])&gt;1),"Yes","No")</f>
        <v>No</v>
      </c>
    </row>
    <row r="470" spans="1:15" x14ac:dyDescent="0.3">
      <c r="A470" t="s">
        <v>1372</v>
      </c>
      <c r="B470" s="2">
        <v>46246.458333333336</v>
      </c>
      <c r="C470" t="s">
        <v>47</v>
      </c>
      <c r="D470" t="s">
        <v>15</v>
      </c>
      <c r="E470" s="6">
        <v>1203.02</v>
      </c>
      <c r="F470" t="s">
        <v>11</v>
      </c>
      <c r="G470" t="s">
        <v>1373</v>
      </c>
      <c r="H470" t="s">
        <v>1374</v>
      </c>
      <c r="I470" s="116">
        <f>INT(tblTransactions[[#This Row],[TransactionDate]])</f>
        <v>46246</v>
      </c>
      <c r="J470" t="str">
        <f>IF(tblTransactions[[#This Row],[ApprovalID]]="", "R2 - Missing Approval Reference", "")</f>
        <v/>
      </c>
      <c r="K470" t="str">
        <f>IF(AND(tblTransactions[[#This Row],[ApprovalID]]&lt;&gt;"",COUNTIFS(tblApprovals[TransactionID],tblTransactions[[#This Row],[TransactionID]],tblApprovals[ApprovalID],tblTransactions[[#This Row],[ApprovalID]])=0),"R3 - Missing or Mismatched Approval Record", "")</f>
        <v/>
      </c>
      <c r="L47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0" t="str">
        <f>IF(AND(tblTransactions[[#This Row],[TransactionStatus]]="Success",COUNTIF(tblSettlement[TransactionID],tblTransactions[[#This Row],[TransactionID]])=0)," R5 - Successful Transaction Not Settled", "")</f>
        <v/>
      </c>
      <c r="N470" t="str">
        <f>IF(AND(COUNTIF(tblSettlement[TransactionID],tblTransactions[[#This Row],[TransactionID]])&gt;0,tblTransactions[[#This Row],[Amount]]&lt;&gt;SUMIF(tblSettlement[TransactionID],tblTransactions[[#This Row],[TransactionID]],tblSettlement[SettledAmount]))," R6 - Settlement Amount Mismatch", "")</f>
        <v/>
      </c>
      <c r="O470" t="str">
        <f>IF(AND(tblTransactions[[#This Row],[CustomerRef]] &lt;&gt;"",COUNTIFS(tblTransactions[CustomerRef],tblTransactions[[#This Row],[CustomerRef]],tblTransactions[Amount],tblTransactions[[#This Row],[Amount]],tblTransactions[Date],tblTransactions[[#This Row],[Date]])&gt;1),"Yes","No")</f>
        <v>No</v>
      </c>
    </row>
    <row r="471" spans="1:15" x14ac:dyDescent="0.3">
      <c r="A471" t="s">
        <v>1375</v>
      </c>
      <c r="B471" s="2">
        <v>46215.855555555558</v>
      </c>
      <c r="C471" t="s">
        <v>24</v>
      </c>
      <c r="D471" t="s">
        <v>69</v>
      </c>
      <c r="E471" s="6">
        <v>5859.85</v>
      </c>
      <c r="F471" t="s">
        <v>11</v>
      </c>
      <c r="G471" t="s">
        <v>1376</v>
      </c>
      <c r="H471" t="s">
        <v>1377</v>
      </c>
      <c r="I471" s="116">
        <f>INT(tblTransactions[[#This Row],[TransactionDate]])</f>
        <v>46215</v>
      </c>
      <c r="J471" t="str">
        <f>IF(tblTransactions[[#This Row],[ApprovalID]]="", "R2 - Missing Approval Reference", "")</f>
        <v/>
      </c>
      <c r="K471" t="str">
        <f>IF(AND(tblTransactions[[#This Row],[ApprovalID]]&lt;&gt;"",COUNTIFS(tblApprovals[TransactionID],tblTransactions[[#This Row],[TransactionID]],tblApprovals[ApprovalID],tblTransactions[[#This Row],[ApprovalID]])=0),"R3 - Missing or Mismatched Approval Record", "")</f>
        <v/>
      </c>
      <c r="L47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1" t="str">
        <f>IF(AND(tblTransactions[[#This Row],[TransactionStatus]]="Success",COUNTIF(tblSettlement[TransactionID],tblTransactions[[#This Row],[TransactionID]])=0)," R5 - Successful Transaction Not Settled", "")</f>
        <v/>
      </c>
      <c r="N471" t="str">
        <f>IF(AND(COUNTIF(tblSettlement[TransactionID],tblTransactions[[#This Row],[TransactionID]])&gt;0,tblTransactions[[#This Row],[Amount]]&lt;&gt;SUMIF(tblSettlement[TransactionID],tblTransactions[[#This Row],[TransactionID]],tblSettlement[SettledAmount]))," R6 - Settlement Amount Mismatch", "")</f>
        <v/>
      </c>
      <c r="O471" t="str">
        <f>IF(AND(tblTransactions[[#This Row],[CustomerRef]] &lt;&gt;"",COUNTIFS(tblTransactions[CustomerRef],tblTransactions[[#This Row],[CustomerRef]],tblTransactions[Amount],tblTransactions[[#This Row],[Amount]],tblTransactions[Date],tblTransactions[[#This Row],[Date]])&gt;1),"Yes","No")</f>
        <v>No</v>
      </c>
    </row>
    <row r="472" spans="1:15" x14ac:dyDescent="0.3">
      <c r="A472" t="s">
        <v>1378</v>
      </c>
      <c r="B472" s="2">
        <v>46237.627083333333</v>
      </c>
      <c r="C472" t="s">
        <v>47</v>
      </c>
      <c r="D472" t="s">
        <v>20</v>
      </c>
      <c r="E472" s="6">
        <v>7710.72</v>
      </c>
      <c r="F472" t="s">
        <v>11</v>
      </c>
      <c r="G472" t="s">
        <v>1379</v>
      </c>
      <c r="H472" t="s">
        <v>676</v>
      </c>
      <c r="I472" s="116">
        <f>INT(tblTransactions[[#This Row],[TransactionDate]])</f>
        <v>46237</v>
      </c>
      <c r="J472" t="str">
        <f>IF(tblTransactions[[#This Row],[ApprovalID]]="", "R2 - Missing Approval Reference", "")</f>
        <v/>
      </c>
      <c r="K472" t="str">
        <f>IF(AND(tblTransactions[[#This Row],[ApprovalID]]&lt;&gt;"",COUNTIFS(tblApprovals[TransactionID],tblTransactions[[#This Row],[TransactionID]],tblApprovals[ApprovalID],tblTransactions[[#This Row],[ApprovalID]])=0),"R3 - Missing or Mismatched Approval Record", "")</f>
        <v/>
      </c>
      <c r="L47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2" t="str">
        <f>IF(AND(tblTransactions[[#This Row],[TransactionStatus]]="Success",COUNTIF(tblSettlement[TransactionID],tblTransactions[[#This Row],[TransactionID]])=0)," R5 - Successful Transaction Not Settled", "")</f>
        <v/>
      </c>
      <c r="N472" t="str">
        <f>IF(AND(COUNTIF(tblSettlement[TransactionID],tblTransactions[[#This Row],[TransactionID]])&gt;0,tblTransactions[[#This Row],[Amount]]&lt;&gt;SUMIF(tblSettlement[TransactionID],tblTransactions[[#This Row],[TransactionID]],tblSettlement[SettledAmount]))," R6 - Settlement Amount Mismatch", "")</f>
        <v/>
      </c>
      <c r="O472" t="str">
        <f>IF(AND(tblTransactions[[#This Row],[CustomerRef]] &lt;&gt;"",COUNTIFS(tblTransactions[CustomerRef],tblTransactions[[#This Row],[CustomerRef]],tblTransactions[Amount],tblTransactions[[#This Row],[Amount]],tblTransactions[Date],tblTransactions[[#This Row],[Date]])&gt;1),"Yes","No")</f>
        <v>No</v>
      </c>
    </row>
    <row r="473" spans="1:15" x14ac:dyDescent="0.3">
      <c r="A473" t="s">
        <v>1380</v>
      </c>
      <c r="B473" s="2">
        <v>46258.796527777777</v>
      </c>
      <c r="C473" t="s">
        <v>47</v>
      </c>
      <c r="D473" t="s">
        <v>10</v>
      </c>
      <c r="E473" s="6">
        <v>7351.14</v>
      </c>
      <c r="F473" t="s">
        <v>11</v>
      </c>
      <c r="G473" t="s">
        <v>1381</v>
      </c>
      <c r="H473" t="s">
        <v>1382</v>
      </c>
      <c r="I473" s="116">
        <f>INT(tblTransactions[[#This Row],[TransactionDate]])</f>
        <v>46258</v>
      </c>
      <c r="J473" t="str">
        <f>IF(tblTransactions[[#This Row],[ApprovalID]]="", "R2 - Missing Approval Reference", "")</f>
        <v/>
      </c>
      <c r="K473" t="str">
        <f>IF(AND(tblTransactions[[#This Row],[ApprovalID]]&lt;&gt;"",COUNTIFS(tblApprovals[TransactionID],tblTransactions[[#This Row],[TransactionID]],tblApprovals[ApprovalID],tblTransactions[[#This Row],[ApprovalID]])=0),"R3 - Missing or Mismatched Approval Record", "")</f>
        <v/>
      </c>
      <c r="L47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3" t="str">
        <f>IF(AND(tblTransactions[[#This Row],[TransactionStatus]]="Success",COUNTIF(tblSettlement[TransactionID],tblTransactions[[#This Row],[TransactionID]])=0)," R5 - Successful Transaction Not Settled", "")</f>
        <v/>
      </c>
      <c r="N473" t="str">
        <f>IF(AND(COUNTIF(tblSettlement[TransactionID],tblTransactions[[#This Row],[TransactionID]])&gt;0,tblTransactions[[#This Row],[Amount]]&lt;&gt;SUMIF(tblSettlement[TransactionID],tblTransactions[[#This Row],[TransactionID]],tblSettlement[SettledAmount]))," R6 - Settlement Amount Mismatch", "")</f>
        <v/>
      </c>
      <c r="O473" t="str">
        <f>IF(AND(tblTransactions[[#This Row],[CustomerRef]] &lt;&gt;"",COUNTIFS(tblTransactions[CustomerRef],tblTransactions[[#This Row],[CustomerRef]],tblTransactions[Amount],tblTransactions[[#This Row],[Amount]],tblTransactions[Date],tblTransactions[[#This Row],[Date]])&gt;1),"Yes","No")</f>
        <v>No</v>
      </c>
    </row>
    <row r="474" spans="1:15" x14ac:dyDescent="0.3">
      <c r="A474" t="s">
        <v>1383</v>
      </c>
      <c r="B474" s="2">
        <v>46246.581250000003</v>
      </c>
      <c r="C474" t="s">
        <v>28</v>
      </c>
      <c r="D474" t="s">
        <v>10</v>
      </c>
      <c r="E474" s="6">
        <v>32969.160000000003</v>
      </c>
      <c r="F474" t="s">
        <v>11</v>
      </c>
      <c r="G474" t="s">
        <v>1384</v>
      </c>
      <c r="H474" t="s">
        <v>1385</v>
      </c>
      <c r="I474" s="116">
        <f>INT(tblTransactions[[#This Row],[TransactionDate]])</f>
        <v>46246</v>
      </c>
      <c r="J474" t="str">
        <f>IF(tblTransactions[[#This Row],[ApprovalID]]="", "R2 - Missing Approval Reference", "")</f>
        <v/>
      </c>
      <c r="K474" t="str">
        <f>IF(AND(tblTransactions[[#This Row],[ApprovalID]]&lt;&gt;"",COUNTIFS(tblApprovals[TransactionID],tblTransactions[[#This Row],[TransactionID]],tblApprovals[ApprovalID],tblTransactions[[#This Row],[ApprovalID]])=0),"R3 - Missing or Mismatched Approval Record", "")</f>
        <v/>
      </c>
      <c r="L47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4" t="str">
        <f>IF(AND(tblTransactions[[#This Row],[TransactionStatus]]="Success",COUNTIF(tblSettlement[TransactionID],tblTransactions[[#This Row],[TransactionID]])=0)," R5 - Successful Transaction Not Settled", "")</f>
        <v/>
      </c>
      <c r="N474" t="str">
        <f>IF(AND(COUNTIF(tblSettlement[TransactionID],tblTransactions[[#This Row],[TransactionID]])&gt;0,tblTransactions[[#This Row],[Amount]]&lt;&gt;SUMIF(tblSettlement[TransactionID],tblTransactions[[#This Row],[TransactionID]],tblSettlement[SettledAmount]))," R6 - Settlement Amount Mismatch", "")</f>
        <v/>
      </c>
      <c r="O474" t="str">
        <f>IF(AND(tblTransactions[[#This Row],[CustomerRef]] &lt;&gt;"",COUNTIFS(tblTransactions[CustomerRef],tblTransactions[[#This Row],[CustomerRef]],tblTransactions[Amount],tblTransactions[[#This Row],[Amount]],tblTransactions[Date],tblTransactions[[#This Row],[Date]])&gt;1),"Yes","No")</f>
        <v>No</v>
      </c>
    </row>
    <row r="475" spans="1:15" x14ac:dyDescent="0.3">
      <c r="A475" t="s">
        <v>1386</v>
      </c>
      <c r="B475" s="2">
        <v>46227.392361111109</v>
      </c>
      <c r="C475" t="s">
        <v>43</v>
      </c>
      <c r="D475" t="s">
        <v>29</v>
      </c>
      <c r="E475" s="6">
        <v>30168.7</v>
      </c>
      <c r="F475" t="s">
        <v>11</v>
      </c>
      <c r="G475" t="s">
        <v>1387</v>
      </c>
      <c r="H475" t="s">
        <v>1388</v>
      </c>
      <c r="I475" s="116">
        <f>INT(tblTransactions[[#This Row],[TransactionDate]])</f>
        <v>46227</v>
      </c>
      <c r="J475" t="str">
        <f>IF(tblTransactions[[#This Row],[ApprovalID]]="", "R2 - Missing Approval Reference", "")</f>
        <v/>
      </c>
      <c r="K475" t="str">
        <f>IF(AND(tblTransactions[[#This Row],[ApprovalID]]&lt;&gt;"",COUNTIFS(tblApprovals[TransactionID],tblTransactions[[#This Row],[TransactionID]],tblApprovals[ApprovalID],tblTransactions[[#This Row],[ApprovalID]])=0),"R3 - Missing or Mismatched Approval Record", "")</f>
        <v/>
      </c>
      <c r="L47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5" t="str">
        <f>IF(AND(tblTransactions[[#This Row],[TransactionStatus]]="Success",COUNTIF(tblSettlement[TransactionID],tblTransactions[[#This Row],[TransactionID]])=0)," R5 - Successful Transaction Not Settled", "")</f>
        <v/>
      </c>
      <c r="N475" t="str">
        <f>IF(AND(COUNTIF(tblSettlement[TransactionID],tblTransactions[[#This Row],[TransactionID]])&gt;0,tblTransactions[[#This Row],[Amount]]&lt;&gt;SUMIF(tblSettlement[TransactionID],tblTransactions[[#This Row],[TransactionID]],tblSettlement[SettledAmount]))," R6 - Settlement Amount Mismatch", "")</f>
        <v/>
      </c>
      <c r="O475" t="str">
        <f>IF(AND(tblTransactions[[#This Row],[CustomerRef]] &lt;&gt;"",COUNTIFS(tblTransactions[CustomerRef],tblTransactions[[#This Row],[CustomerRef]],tblTransactions[Amount],tblTransactions[[#This Row],[Amount]],tblTransactions[Date],tblTransactions[[#This Row],[Date]])&gt;1),"Yes","No")</f>
        <v>No</v>
      </c>
    </row>
    <row r="476" spans="1:15" x14ac:dyDescent="0.3">
      <c r="A476" t="s">
        <v>1389</v>
      </c>
      <c r="B476" s="2">
        <v>46218.447222222225</v>
      </c>
      <c r="C476" t="s">
        <v>9</v>
      </c>
      <c r="D476" t="s">
        <v>10</v>
      </c>
      <c r="E476" s="6">
        <v>54549.23</v>
      </c>
      <c r="F476" t="s">
        <v>36</v>
      </c>
      <c r="G476" t="s">
        <v>1390</v>
      </c>
      <c r="H476" t="s">
        <v>1391</v>
      </c>
      <c r="I476" s="116">
        <f>INT(tblTransactions[[#This Row],[TransactionDate]])</f>
        <v>46218</v>
      </c>
      <c r="J476" t="str">
        <f>IF(tblTransactions[[#This Row],[ApprovalID]]="", "R2 - Missing Approval Reference", "")</f>
        <v/>
      </c>
      <c r="K476" t="str">
        <f>IF(AND(tblTransactions[[#This Row],[ApprovalID]]&lt;&gt;"",COUNTIFS(tblApprovals[TransactionID],tblTransactions[[#This Row],[TransactionID]],tblApprovals[ApprovalID],tblTransactions[[#This Row],[ApprovalID]])=0),"R3 - Missing or Mismatched Approval Record", "")</f>
        <v/>
      </c>
      <c r="L47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6" t="str">
        <f>IF(AND(tblTransactions[[#This Row],[TransactionStatus]]="Success",COUNTIF(tblSettlement[TransactionID],tblTransactions[[#This Row],[TransactionID]])=0)," R5 - Successful Transaction Not Settled", "")</f>
        <v/>
      </c>
      <c r="N476" t="str">
        <f>IF(AND(COUNTIF(tblSettlement[TransactionID],tblTransactions[[#This Row],[TransactionID]])&gt;0,tblTransactions[[#This Row],[Amount]]&lt;&gt;SUMIF(tblSettlement[TransactionID],tblTransactions[[#This Row],[TransactionID]],tblSettlement[SettledAmount]))," R6 - Settlement Amount Mismatch", "")</f>
        <v/>
      </c>
      <c r="O476" t="str">
        <f>IF(AND(tblTransactions[[#This Row],[CustomerRef]] &lt;&gt;"",COUNTIFS(tblTransactions[CustomerRef],tblTransactions[[#This Row],[CustomerRef]],tblTransactions[Amount],tblTransactions[[#This Row],[Amount]],tblTransactions[Date],tblTransactions[[#This Row],[Date]])&gt;1),"Yes","No")</f>
        <v>No</v>
      </c>
    </row>
    <row r="477" spans="1:15" x14ac:dyDescent="0.3">
      <c r="A477" t="s">
        <v>1392</v>
      </c>
      <c r="B477" s="2">
        <v>46276.769444444442</v>
      </c>
      <c r="C477" t="s">
        <v>24</v>
      </c>
      <c r="D477" t="s">
        <v>15</v>
      </c>
      <c r="E477" s="6">
        <v>13799.23</v>
      </c>
      <c r="F477" t="s">
        <v>11</v>
      </c>
      <c r="H477" t="s">
        <v>1393</v>
      </c>
      <c r="I477" s="116">
        <f>INT(tblTransactions[[#This Row],[TransactionDate]])</f>
        <v>46276</v>
      </c>
      <c r="J477" t="str">
        <f>IF(tblTransactions[[#This Row],[ApprovalID]]="", "R2 - Missing Approval Reference", "")</f>
        <v>R2 - Missing Approval Reference</v>
      </c>
      <c r="K477" t="str">
        <f>IF(AND(tblTransactions[[#This Row],[ApprovalID]]&lt;&gt;"",COUNTIFS(tblApprovals[TransactionID],tblTransactions[[#This Row],[TransactionID]],tblApprovals[ApprovalID],tblTransactions[[#This Row],[ApprovalID]])=0),"R3 - Missing or Mismatched Approval Record", "")</f>
        <v/>
      </c>
      <c r="L47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7" t="str">
        <f>IF(AND(tblTransactions[[#This Row],[TransactionStatus]]="Success",COUNTIF(tblSettlement[TransactionID],tblTransactions[[#This Row],[TransactionID]])=0)," R5 - Successful Transaction Not Settled", "")</f>
        <v/>
      </c>
      <c r="N477" t="str">
        <f>IF(AND(COUNTIF(tblSettlement[TransactionID],tblTransactions[[#This Row],[TransactionID]])&gt;0,tblTransactions[[#This Row],[Amount]]&lt;&gt;SUMIF(tblSettlement[TransactionID],tblTransactions[[#This Row],[TransactionID]],tblSettlement[SettledAmount]))," R6 - Settlement Amount Mismatch", "")</f>
        <v/>
      </c>
      <c r="O477" t="str">
        <f>IF(AND(tblTransactions[[#This Row],[CustomerRef]] &lt;&gt;"",COUNTIFS(tblTransactions[CustomerRef],tblTransactions[[#This Row],[CustomerRef]],tblTransactions[Amount],tblTransactions[[#This Row],[Amount]],tblTransactions[Date],tblTransactions[[#This Row],[Date]])&gt;1),"Yes","No")</f>
        <v>No</v>
      </c>
    </row>
    <row r="478" spans="1:15" x14ac:dyDescent="0.3">
      <c r="A478" t="s">
        <v>1394</v>
      </c>
      <c r="B478" s="2">
        <v>46265.938194444447</v>
      </c>
      <c r="C478" t="s">
        <v>47</v>
      </c>
      <c r="D478" t="s">
        <v>10</v>
      </c>
      <c r="E478" s="6">
        <v>8692.08</v>
      </c>
      <c r="F478" t="s">
        <v>11</v>
      </c>
      <c r="G478" t="s">
        <v>1395</v>
      </c>
      <c r="H478" t="s">
        <v>1396</v>
      </c>
      <c r="I478" s="116">
        <f>INT(tblTransactions[[#This Row],[TransactionDate]])</f>
        <v>46265</v>
      </c>
      <c r="J478" t="str">
        <f>IF(tblTransactions[[#This Row],[ApprovalID]]="", "R2 - Missing Approval Reference", "")</f>
        <v/>
      </c>
      <c r="K478" t="str">
        <f>IF(AND(tblTransactions[[#This Row],[ApprovalID]]&lt;&gt;"",COUNTIFS(tblApprovals[TransactionID],tblTransactions[[#This Row],[TransactionID]],tblApprovals[ApprovalID],tblTransactions[[#This Row],[ApprovalID]])=0),"R3 - Missing or Mismatched Approval Record", "")</f>
        <v/>
      </c>
      <c r="L47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8" t="str">
        <f>IF(AND(tblTransactions[[#This Row],[TransactionStatus]]="Success",COUNTIF(tblSettlement[TransactionID],tblTransactions[[#This Row],[TransactionID]])=0)," R5 - Successful Transaction Not Settled", "")</f>
        <v/>
      </c>
      <c r="N478" t="str">
        <f>IF(AND(COUNTIF(tblSettlement[TransactionID],tblTransactions[[#This Row],[TransactionID]])&gt;0,tblTransactions[[#This Row],[Amount]]&lt;&gt;SUMIF(tblSettlement[TransactionID],tblTransactions[[#This Row],[TransactionID]],tblSettlement[SettledAmount]))," R6 - Settlement Amount Mismatch", "")</f>
        <v/>
      </c>
      <c r="O478" t="str">
        <f>IF(AND(tblTransactions[[#This Row],[CustomerRef]] &lt;&gt;"",COUNTIFS(tblTransactions[CustomerRef],tblTransactions[[#This Row],[CustomerRef]],tblTransactions[Amount],tblTransactions[[#This Row],[Amount]],tblTransactions[Date],tblTransactions[[#This Row],[Date]])&gt;1),"Yes","No")</f>
        <v>No</v>
      </c>
    </row>
    <row r="479" spans="1:15" x14ac:dyDescent="0.3">
      <c r="A479" t="s">
        <v>1397</v>
      </c>
      <c r="B479" s="2">
        <v>46205.829861111109</v>
      </c>
      <c r="C479" t="s">
        <v>19</v>
      </c>
      <c r="D479" t="s">
        <v>15</v>
      </c>
      <c r="E479" s="6">
        <v>50925.19</v>
      </c>
      <c r="F479" t="s">
        <v>11</v>
      </c>
      <c r="G479" t="s">
        <v>1398</v>
      </c>
      <c r="H479" t="s">
        <v>1399</v>
      </c>
      <c r="I479" s="116">
        <f>INT(tblTransactions[[#This Row],[TransactionDate]])</f>
        <v>46205</v>
      </c>
      <c r="J479" t="str">
        <f>IF(tblTransactions[[#This Row],[ApprovalID]]="", "R2 - Missing Approval Reference", "")</f>
        <v/>
      </c>
      <c r="K479" t="str">
        <f>IF(AND(tblTransactions[[#This Row],[ApprovalID]]&lt;&gt;"",COUNTIFS(tblApprovals[TransactionID],tblTransactions[[#This Row],[TransactionID]],tblApprovals[ApprovalID],tblTransactions[[#This Row],[ApprovalID]])=0),"R3 - Missing or Mismatched Approval Record", "")</f>
        <v/>
      </c>
      <c r="L47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79" t="str">
        <f>IF(AND(tblTransactions[[#This Row],[TransactionStatus]]="Success",COUNTIF(tblSettlement[TransactionID],tblTransactions[[#This Row],[TransactionID]])=0)," R5 - Successful Transaction Not Settled", "")</f>
        <v/>
      </c>
      <c r="N479" t="str">
        <f>IF(AND(COUNTIF(tblSettlement[TransactionID],tblTransactions[[#This Row],[TransactionID]])&gt;0,tblTransactions[[#This Row],[Amount]]&lt;&gt;SUMIF(tblSettlement[TransactionID],tblTransactions[[#This Row],[TransactionID]],tblSettlement[SettledAmount]))," R6 - Settlement Amount Mismatch", "")</f>
        <v/>
      </c>
      <c r="O479" t="str">
        <f>IF(AND(tblTransactions[[#This Row],[CustomerRef]] &lt;&gt;"",COUNTIFS(tblTransactions[CustomerRef],tblTransactions[[#This Row],[CustomerRef]],tblTransactions[Amount],tblTransactions[[#This Row],[Amount]],tblTransactions[Date],tblTransactions[[#This Row],[Date]])&gt;1),"Yes","No")</f>
        <v>No</v>
      </c>
    </row>
    <row r="480" spans="1:15" x14ac:dyDescent="0.3">
      <c r="A480" t="s">
        <v>1400</v>
      </c>
      <c r="B480" s="2">
        <v>46270.697222222225</v>
      </c>
      <c r="C480" t="s">
        <v>28</v>
      </c>
      <c r="D480" t="s">
        <v>69</v>
      </c>
      <c r="E480" s="6">
        <v>52618.37</v>
      </c>
      <c r="F480" t="s">
        <v>11</v>
      </c>
      <c r="G480" t="s">
        <v>1401</v>
      </c>
      <c r="H480" t="s">
        <v>1402</v>
      </c>
      <c r="I480" s="116">
        <f>INT(tblTransactions[[#This Row],[TransactionDate]])</f>
        <v>46270</v>
      </c>
      <c r="J480" t="str">
        <f>IF(tblTransactions[[#This Row],[ApprovalID]]="", "R2 - Missing Approval Reference", "")</f>
        <v/>
      </c>
      <c r="K480" t="str">
        <f>IF(AND(tblTransactions[[#This Row],[ApprovalID]]&lt;&gt;"",COUNTIFS(tblApprovals[TransactionID],tblTransactions[[#This Row],[TransactionID]],tblApprovals[ApprovalID],tblTransactions[[#This Row],[ApprovalID]])=0),"R3 - Missing or Mismatched Approval Record", "")</f>
        <v/>
      </c>
      <c r="L48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0" t="str">
        <f>IF(AND(tblTransactions[[#This Row],[TransactionStatus]]="Success",COUNTIF(tblSettlement[TransactionID],tblTransactions[[#This Row],[TransactionID]])=0)," R5 - Successful Transaction Not Settled", "")</f>
        <v/>
      </c>
      <c r="N480" t="str">
        <f>IF(AND(COUNTIF(tblSettlement[TransactionID],tblTransactions[[#This Row],[TransactionID]])&gt;0,tblTransactions[[#This Row],[Amount]]&lt;&gt;SUMIF(tblSettlement[TransactionID],tblTransactions[[#This Row],[TransactionID]],tblSettlement[SettledAmount]))," R6 - Settlement Amount Mismatch", "")</f>
        <v/>
      </c>
      <c r="O480" t="str">
        <f>IF(AND(tblTransactions[[#This Row],[CustomerRef]] &lt;&gt;"",COUNTIFS(tblTransactions[CustomerRef],tblTransactions[[#This Row],[CustomerRef]],tblTransactions[Amount],tblTransactions[[#This Row],[Amount]],tblTransactions[Date],tblTransactions[[#This Row],[Date]])&gt;1),"Yes","No")</f>
        <v>No</v>
      </c>
    </row>
    <row r="481" spans="1:15" x14ac:dyDescent="0.3">
      <c r="A481" t="s">
        <v>1403</v>
      </c>
      <c r="B481" s="2">
        <v>46223.911111111112</v>
      </c>
      <c r="C481" t="s">
        <v>47</v>
      </c>
      <c r="D481" t="s">
        <v>10</v>
      </c>
      <c r="E481" s="6">
        <v>41986.23</v>
      </c>
      <c r="F481" t="s">
        <v>36</v>
      </c>
      <c r="G481" t="s">
        <v>1404</v>
      </c>
      <c r="H481" t="s">
        <v>1405</v>
      </c>
      <c r="I481" s="116">
        <f>INT(tblTransactions[[#This Row],[TransactionDate]])</f>
        <v>46223</v>
      </c>
      <c r="J481" t="str">
        <f>IF(tblTransactions[[#This Row],[ApprovalID]]="", "R2 - Missing Approval Reference", "")</f>
        <v/>
      </c>
      <c r="K481" t="str">
        <f>IF(AND(tblTransactions[[#This Row],[ApprovalID]]&lt;&gt;"",COUNTIFS(tblApprovals[TransactionID],tblTransactions[[#This Row],[TransactionID]],tblApprovals[ApprovalID],tblTransactions[[#This Row],[ApprovalID]])=0),"R3 - Missing or Mismatched Approval Record", "")</f>
        <v/>
      </c>
      <c r="L48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1" t="str">
        <f>IF(AND(tblTransactions[[#This Row],[TransactionStatus]]="Success",COUNTIF(tblSettlement[TransactionID],tblTransactions[[#This Row],[TransactionID]])=0)," R5 - Successful Transaction Not Settled", "")</f>
        <v/>
      </c>
      <c r="N481" t="str">
        <f>IF(AND(COUNTIF(tblSettlement[TransactionID],tblTransactions[[#This Row],[TransactionID]])&gt;0,tblTransactions[[#This Row],[Amount]]&lt;&gt;SUMIF(tblSettlement[TransactionID],tblTransactions[[#This Row],[TransactionID]],tblSettlement[SettledAmount]))," R6 - Settlement Amount Mismatch", "")</f>
        <v/>
      </c>
      <c r="O481" t="str">
        <f>IF(AND(tblTransactions[[#This Row],[CustomerRef]] &lt;&gt;"",COUNTIFS(tblTransactions[CustomerRef],tblTransactions[[#This Row],[CustomerRef]],tblTransactions[Amount],tblTransactions[[#This Row],[Amount]],tblTransactions[Date],tblTransactions[[#This Row],[Date]])&gt;1),"Yes","No")</f>
        <v>No</v>
      </c>
    </row>
    <row r="482" spans="1:15" x14ac:dyDescent="0.3">
      <c r="A482" t="s">
        <v>1406</v>
      </c>
      <c r="B482" s="2">
        <v>46268.895833333336</v>
      </c>
      <c r="C482" t="s">
        <v>47</v>
      </c>
      <c r="D482" t="s">
        <v>29</v>
      </c>
      <c r="E482" s="6">
        <v>63927.37</v>
      </c>
      <c r="F482" t="s">
        <v>11</v>
      </c>
      <c r="G482" t="s">
        <v>1407</v>
      </c>
      <c r="H482" t="s">
        <v>1408</v>
      </c>
      <c r="I482" s="116">
        <f>INT(tblTransactions[[#This Row],[TransactionDate]])</f>
        <v>46268</v>
      </c>
      <c r="J482" t="str">
        <f>IF(tblTransactions[[#This Row],[ApprovalID]]="", "R2 - Missing Approval Reference", "")</f>
        <v/>
      </c>
      <c r="K482" t="str">
        <f>IF(AND(tblTransactions[[#This Row],[ApprovalID]]&lt;&gt;"",COUNTIFS(tblApprovals[TransactionID],tblTransactions[[#This Row],[TransactionID]],tblApprovals[ApprovalID],tblTransactions[[#This Row],[ApprovalID]])=0),"R3 - Missing or Mismatched Approval Record", "")</f>
        <v/>
      </c>
      <c r="L48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2" t="str">
        <f>IF(AND(tblTransactions[[#This Row],[TransactionStatus]]="Success",COUNTIF(tblSettlement[TransactionID],tblTransactions[[#This Row],[TransactionID]])=0)," R5 - Successful Transaction Not Settled", "")</f>
        <v/>
      </c>
      <c r="N482" t="str">
        <f>IF(AND(COUNTIF(tblSettlement[TransactionID],tblTransactions[[#This Row],[TransactionID]])&gt;0,tblTransactions[[#This Row],[Amount]]&lt;&gt;SUMIF(tblSettlement[TransactionID],tblTransactions[[#This Row],[TransactionID]],tblSettlement[SettledAmount]))," R6 - Settlement Amount Mismatch", "")</f>
        <v/>
      </c>
      <c r="O482" t="str">
        <f>IF(AND(tblTransactions[[#This Row],[CustomerRef]] &lt;&gt;"",COUNTIFS(tblTransactions[CustomerRef],tblTransactions[[#This Row],[CustomerRef]],tblTransactions[Amount],tblTransactions[[#This Row],[Amount]],tblTransactions[Date],tblTransactions[[#This Row],[Date]])&gt;1),"Yes","No")</f>
        <v>No</v>
      </c>
    </row>
    <row r="483" spans="1:15" x14ac:dyDescent="0.3">
      <c r="A483" t="s">
        <v>1409</v>
      </c>
      <c r="B483" s="2">
        <v>46239.355555555558</v>
      </c>
      <c r="C483" t="s">
        <v>43</v>
      </c>
      <c r="D483" t="s">
        <v>69</v>
      </c>
      <c r="E483" s="6">
        <v>16897.310000000001</v>
      </c>
      <c r="F483" t="s">
        <v>11</v>
      </c>
      <c r="H483" t="s">
        <v>1410</v>
      </c>
      <c r="I483" s="116">
        <f>INT(tblTransactions[[#This Row],[TransactionDate]])</f>
        <v>46239</v>
      </c>
      <c r="J483" t="str">
        <f>IF(tblTransactions[[#This Row],[ApprovalID]]="", "R2 - Missing Approval Reference", "")</f>
        <v>R2 - Missing Approval Reference</v>
      </c>
      <c r="K483" t="str">
        <f>IF(AND(tblTransactions[[#This Row],[ApprovalID]]&lt;&gt;"",COUNTIFS(tblApprovals[TransactionID],tblTransactions[[#This Row],[TransactionID]],tblApprovals[ApprovalID],tblTransactions[[#This Row],[ApprovalID]])=0),"R3 - Missing or Mismatched Approval Record", "")</f>
        <v/>
      </c>
      <c r="L48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3" t="str">
        <f>IF(AND(tblTransactions[[#This Row],[TransactionStatus]]="Success",COUNTIF(tblSettlement[TransactionID],tblTransactions[[#This Row],[TransactionID]])=0)," R5 - Successful Transaction Not Settled", "")</f>
        <v/>
      </c>
      <c r="N483" t="str">
        <f>IF(AND(COUNTIF(tblSettlement[TransactionID],tblTransactions[[#This Row],[TransactionID]])&gt;0,tblTransactions[[#This Row],[Amount]]&lt;&gt;SUMIF(tblSettlement[TransactionID],tblTransactions[[#This Row],[TransactionID]],tblSettlement[SettledAmount]))," R6 - Settlement Amount Mismatch", "")</f>
        <v/>
      </c>
      <c r="O483" t="str">
        <f>IF(AND(tblTransactions[[#This Row],[CustomerRef]] &lt;&gt;"",COUNTIFS(tblTransactions[CustomerRef],tblTransactions[[#This Row],[CustomerRef]],tblTransactions[Amount],tblTransactions[[#This Row],[Amount]],tblTransactions[Date],tblTransactions[[#This Row],[Date]])&gt;1),"Yes","No")</f>
        <v>No</v>
      </c>
    </row>
    <row r="484" spans="1:15" x14ac:dyDescent="0.3">
      <c r="A484" t="s">
        <v>1411</v>
      </c>
      <c r="B484" s="2">
        <v>46277.628472222219</v>
      </c>
      <c r="C484" t="s">
        <v>47</v>
      </c>
      <c r="D484" t="s">
        <v>29</v>
      </c>
      <c r="E484" s="6">
        <v>64280.04</v>
      </c>
      <c r="F484" t="s">
        <v>11</v>
      </c>
      <c r="G484" t="s">
        <v>1412</v>
      </c>
      <c r="H484" t="s">
        <v>1413</v>
      </c>
      <c r="I484" s="116">
        <f>INT(tblTransactions[[#This Row],[TransactionDate]])</f>
        <v>46277</v>
      </c>
      <c r="J484" t="str">
        <f>IF(tblTransactions[[#This Row],[ApprovalID]]="", "R2 - Missing Approval Reference", "")</f>
        <v/>
      </c>
      <c r="K484" t="str">
        <f>IF(AND(tblTransactions[[#This Row],[ApprovalID]]&lt;&gt;"",COUNTIFS(tblApprovals[TransactionID],tblTransactions[[#This Row],[TransactionID]],tblApprovals[ApprovalID],tblTransactions[[#This Row],[ApprovalID]])=0),"R3 - Missing or Mismatched Approval Record", "")</f>
        <v/>
      </c>
      <c r="L48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4" t="str">
        <f>IF(AND(tblTransactions[[#This Row],[TransactionStatus]]="Success",COUNTIF(tblSettlement[TransactionID],tblTransactions[[#This Row],[TransactionID]])=0)," R5 - Successful Transaction Not Settled", "")</f>
        <v/>
      </c>
      <c r="N484" t="str">
        <f>IF(AND(COUNTIF(tblSettlement[TransactionID],tblTransactions[[#This Row],[TransactionID]])&gt;0,tblTransactions[[#This Row],[Amount]]&lt;&gt;SUMIF(tblSettlement[TransactionID],tblTransactions[[#This Row],[TransactionID]],tblSettlement[SettledAmount]))," R6 - Settlement Amount Mismatch", "")</f>
        <v/>
      </c>
      <c r="O484" t="str">
        <f>IF(AND(tblTransactions[[#This Row],[CustomerRef]] &lt;&gt;"",COUNTIFS(tblTransactions[CustomerRef],tblTransactions[[#This Row],[CustomerRef]],tblTransactions[Amount],tblTransactions[[#This Row],[Amount]],tblTransactions[Date],tblTransactions[[#This Row],[Date]])&gt;1),"Yes","No")</f>
        <v>No</v>
      </c>
    </row>
    <row r="485" spans="1:15" x14ac:dyDescent="0.3">
      <c r="A485" t="s">
        <v>1414</v>
      </c>
      <c r="B485" s="2">
        <v>46217.601388888892</v>
      </c>
      <c r="C485" t="s">
        <v>47</v>
      </c>
      <c r="D485" t="s">
        <v>15</v>
      </c>
      <c r="E485" s="6">
        <v>2928.44</v>
      </c>
      <c r="F485" t="s">
        <v>11</v>
      </c>
      <c r="G485" t="s">
        <v>1415</v>
      </c>
      <c r="H485" t="s">
        <v>1416</v>
      </c>
      <c r="I485" s="116">
        <f>INT(tblTransactions[[#This Row],[TransactionDate]])</f>
        <v>46217</v>
      </c>
      <c r="J485" t="str">
        <f>IF(tblTransactions[[#This Row],[ApprovalID]]="", "R2 - Missing Approval Reference", "")</f>
        <v/>
      </c>
      <c r="K485" t="str">
        <f>IF(AND(tblTransactions[[#This Row],[ApprovalID]]&lt;&gt;"",COUNTIFS(tblApprovals[TransactionID],tblTransactions[[#This Row],[TransactionID]],tblApprovals[ApprovalID],tblTransactions[[#This Row],[ApprovalID]])=0),"R3 - Missing or Mismatched Approval Record", "")</f>
        <v/>
      </c>
      <c r="L48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5" t="str">
        <f>IF(AND(tblTransactions[[#This Row],[TransactionStatus]]="Success",COUNTIF(tblSettlement[TransactionID],tblTransactions[[#This Row],[TransactionID]])=0)," R5 - Successful Transaction Not Settled", "")</f>
        <v/>
      </c>
      <c r="N485" t="str">
        <f>IF(AND(COUNTIF(tblSettlement[TransactionID],tblTransactions[[#This Row],[TransactionID]])&gt;0,tblTransactions[[#This Row],[Amount]]&lt;&gt;SUMIF(tblSettlement[TransactionID],tblTransactions[[#This Row],[TransactionID]],tblSettlement[SettledAmount]))," R6 - Settlement Amount Mismatch", "")</f>
        <v/>
      </c>
      <c r="O485" t="str">
        <f>IF(AND(tblTransactions[[#This Row],[CustomerRef]] &lt;&gt;"",COUNTIFS(tblTransactions[CustomerRef],tblTransactions[[#This Row],[CustomerRef]],tblTransactions[Amount],tblTransactions[[#This Row],[Amount]],tblTransactions[Date],tblTransactions[[#This Row],[Date]])&gt;1),"Yes","No")</f>
        <v>No</v>
      </c>
    </row>
    <row r="486" spans="1:15" x14ac:dyDescent="0.3">
      <c r="A486" t="s">
        <v>1417</v>
      </c>
      <c r="B486" s="2">
        <v>46269.675694444442</v>
      </c>
      <c r="C486" t="s">
        <v>24</v>
      </c>
      <c r="D486" t="s">
        <v>20</v>
      </c>
      <c r="E486" s="6">
        <v>49181.05</v>
      </c>
      <c r="F486" t="s">
        <v>11</v>
      </c>
      <c r="G486" t="s">
        <v>1418</v>
      </c>
      <c r="H486" t="s">
        <v>1419</v>
      </c>
      <c r="I486" s="116">
        <f>INT(tblTransactions[[#This Row],[TransactionDate]])</f>
        <v>46269</v>
      </c>
      <c r="J486" t="str">
        <f>IF(tblTransactions[[#This Row],[ApprovalID]]="", "R2 - Missing Approval Reference", "")</f>
        <v/>
      </c>
      <c r="K486" t="str">
        <f>IF(AND(tblTransactions[[#This Row],[ApprovalID]]&lt;&gt;"",COUNTIFS(tblApprovals[TransactionID],tblTransactions[[#This Row],[TransactionID]],tblApprovals[ApprovalID],tblTransactions[[#This Row],[ApprovalID]])=0),"R3 - Missing or Mismatched Approval Record", "")</f>
        <v/>
      </c>
      <c r="L48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6" t="str">
        <f>IF(AND(tblTransactions[[#This Row],[TransactionStatus]]="Success",COUNTIF(tblSettlement[TransactionID],tblTransactions[[#This Row],[TransactionID]])=0)," R5 - Successful Transaction Not Settled", "")</f>
        <v/>
      </c>
      <c r="N486" t="str">
        <f>IF(AND(COUNTIF(tblSettlement[TransactionID],tblTransactions[[#This Row],[TransactionID]])&gt;0,tblTransactions[[#This Row],[Amount]]&lt;&gt;SUMIF(tblSettlement[TransactionID],tblTransactions[[#This Row],[TransactionID]],tblSettlement[SettledAmount]))," R6 - Settlement Amount Mismatch", "")</f>
        <v/>
      </c>
      <c r="O486" t="str">
        <f>IF(AND(tblTransactions[[#This Row],[CustomerRef]] &lt;&gt;"",COUNTIFS(tblTransactions[CustomerRef],tblTransactions[[#This Row],[CustomerRef]],tblTransactions[Amount],tblTransactions[[#This Row],[Amount]],tblTransactions[Date],tblTransactions[[#This Row],[Date]])&gt;1),"Yes","No")</f>
        <v>No</v>
      </c>
    </row>
    <row r="487" spans="1:15" x14ac:dyDescent="0.3">
      <c r="A487" t="s">
        <v>1420</v>
      </c>
      <c r="B487" s="2">
        <v>46262.565972222219</v>
      </c>
      <c r="C487" t="s">
        <v>28</v>
      </c>
      <c r="D487" t="s">
        <v>20</v>
      </c>
      <c r="E487" s="6">
        <v>57614.38</v>
      </c>
      <c r="F487" t="s">
        <v>11</v>
      </c>
      <c r="G487" t="s">
        <v>1421</v>
      </c>
      <c r="H487" t="s">
        <v>1422</v>
      </c>
      <c r="I487" s="116">
        <f>INT(tblTransactions[[#This Row],[TransactionDate]])</f>
        <v>46262</v>
      </c>
      <c r="J487" t="str">
        <f>IF(tblTransactions[[#This Row],[ApprovalID]]="", "R2 - Missing Approval Reference", "")</f>
        <v/>
      </c>
      <c r="K487" t="str">
        <f>IF(AND(tblTransactions[[#This Row],[ApprovalID]]&lt;&gt;"",COUNTIFS(tblApprovals[TransactionID],tblTransactions[[#This Row],[TransactionID]],tblApprovals[ApprovalID],tblTransactions[[#This Row],[ApprovalID]])=0),"R3 - Missing or Mismatched Approval Record", "")</f>
        <v/>
      </c>
      <c r="L48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7" t="str">
        <f>IF(AND(tblTransactions[[#This Row],[TransactionStatus]]="Success",COUNTIF(tblSettlement[TransactionID],tblTransactions[[#This Row],[TransactionID]])=0)," R5 - Successful Transaction Not Settled", "")</f>
        <v/>
      </c>
      <c r="N487" t="str">
        <f>IF(AND(COUNTIF(tblSettlement[TransactionID],tblTransactions[[#This Row],[TransactionID]])&gt;0,tblTransactions[[#This Row],[Amount]]&lt;&gt;SUMIF(tblSettlement[TransactionID],tblTransactions[[#This Row],[TransactionID]],tblSettlement[SettledAmount]))," R6 - Settlement Amount Mismatch", "")</f>
        <v/>
      </c>
      <c r="O487" t="str">
        <f>IF(AND(tblTransactions[[#This Row],[CustomerRef]] &lt;&gt;"",COUNTIFS(tblTransactions[CustomerRef],tblTransactions[[#This Row],[CustomerRef]],tblTransactions[Amount],tblTransactions[[#This Row],[Amount]],tblTransactions[Date],tblTransactions[[#This Row],[Date]])&gt;1),"Yes","No")</f>
        <v>No</v>
      </c>
    </row>
    <row r="488" spans="1:15" x14ac:dyDescent="0.3">
      <c r="A488" t="s">
        <v>1423</v>
      </c>
      <c r="B488" s="2">
        <v>46216.862500000003</v>
      </c>
      <c r="C488" t="s">
        <v>28</v>
      </c>
      <c r="D488" t="s">
        <v>20</v>
      </c>
      <c r="E488" s="6">
        <v>16825.599999999999</v>
      </c>
      <c r="F488" t="s">
        <v>11</v>
      </c>
      <c r="G488" t="s">
        <v>1424</v>
      </c>
      <c r="H488" t="s">
        <v>1425</v>
      </c>
      <c r="I488" s="116">
        <f>INT(tblTransactions[[#This Row],[TransactionDate]])</f>
        <v>46216</v>
      </c>
      <c r="J488" t="str">
        <f>IF(tblTransactions[[#This Row],[ApprovalID]]="", "R2 - Missing Approval Reference", "")</f>
        <v/>
      </c>
      <c r="K488" t="str">
        <f>IF(AND(tblTransactions[[#This Row],[ApprovalID]]&lt;&gt;"",COUNTIFS(tblApprovals[TransactionID],tblTransactions[[#This Row],[TransactionID]],tblApprovals[ApprovalID],tblTransactions[[#This Row],[ApprovalID]])=0),"R3 - Missing or Mismatched Approval Record", "")</f>
        <v/>
      </c>
      <c r="L48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8" t="str">
        <f>IF(AND(tblTransactions[[#This Row],[TransactionStatus]]="Success",COUNTIF(tblSettlement[TransactionID],tblTransactions[[#This Row],[TransactionID]])=0)," R5 - Successful Transaction Not Settled", "")</f>
        <v/>
      </c>
      <c r="N488" t="str">
        <f>IF(AND(COUNTIF(tblSettlement[TransactionID],tblTransactions[[#This Row],[TransactionID]])&gt;0,tblTransactions[[#This Row],[Amount]]&lt;&gt;SUMIF(tblSettlement[TransactionID],tblTransactions[[#This Row],[TransactionID]],tblSettlement[SettledAmount]))," R6 - Settlement Amount Mismatch", "")</f>
        <v/>
      </c>
      <c r="O488" t="str">
        <f>IF(AND(tblTransactions[[#This Row],[CustomerRef]] &lt;&gt;"",COUNTIFS(tblTransactions[CustomerRef],tblTransactions[[#This Row],[CustomerRef]],tblTransactions[Amount],tblTransactions[[#This Row],[Amount]],tblTransactions[Date],tblTransactions[[#This Row],[Date]])&gt;1),"Yes","No")</f>
        <v>No</v>
      </c>
    </row>
    <row r="489" spans="1:15" x14ac:dyDescent="0.3">
      <c r="A489" t="s">
        <v>1426</v>
      </c>
      <c r="B489" s="2">
        <v>46293.376388888886</v>
      </c>
      <c r="C489" t="s">
        <v>28</v>
      </c>
      <c r="D489" t="s">
        <v>29</v>
      </c>
      <c r="E489" s="6">
        <v>67291.56</v>
      </c>
      <c r="F489" t="s">
        <v>11</v>
      </c>
      <c r="G489" t="s">
        <v>1427</v>
      </c>
      <c r="H489" t="s">
        <v>1428</v>
      </c>
      <c r="I489" s="116">
        <f>INT(tblTransactions[[#This Row],[TransactionDate]])</f>
        <v>46293</v>
      </c>
      <c r="J489" t="str">
        <f>IF(tblTransactions[[#This Row],[ApprovalID]]="", "R2 - Missing Approval Reference", "")</f>
        <v/>
      </c>
      <c r="K489" t="str">
        <f>IF(AND(tblTransactions[[#This Row],[ApprovalID]]&lt;&gt;"",COUNTIFS(tblApprovals[TransactionID],tblTransactions[[#This Row],[TransactionID]],tblApprovals[ApprovalID],tblTransactions[[#This Row],[ApprovalID]])=0),"R3 - Missing or Mismatched Approval Record", "")</f>
        <v/>
      </c>
      <c r="L48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89" t="str">
        <f>IF(AND(tblTransactions[[#This Row],[TransactionStatus]]="Success",COUNTIF(tblSettlement[TransactionID],tblTransactions[[#This Row],[TransactionID]])=0)," R5 - Successful Transaction Not Settled", "")</f>
        <v/>
      </c>
      <c r="N489" t="str">
        <f>IF(AND(COUNTIF(tblSettlement[TransactionID],tblTransactions[[#This Row],[TransactionID]])&gt;0,tblTransactions[[#This Row],[Amount]]&lt;&gt;SUMIF(tblSettlement[TransactionID],tblTransactions[[#This Row],[TransactionID]],tblSettlement[SettledAmount]))," R6 - Settlement Amount Mismatch", "")</f>
        <v/>
      </c>
      <c r="O489" t="str">
        <f>IF(AND(tblTransactions[[#This Row],[CustomerRef]] &lt;&gt;"",COUNTIFS(tblTransactions[CustomerRef],tblTransactions[[#This Row],[CustomerRef]],tblTransactions[Amount],tblTransactions[[#This Row],[Amount]],tblTransactions[Date],tblTransactions[[#This Row],[Date]])&gt;1),"Yes","No")</f>
        <v>No</v>
      </c>
    </row>
    <row r="490" spans="1:15" x14ac:dyDescent="0.3">
      <c r="A490" t="s">
        <v>1429</v>
      </c>
      <c r="B490" s="2">
        <v>46228.415972222225</v>
      </c>
      <c r="C490" t="s">
        <v>9</v>
      </c>
      <c r="D490" t="s">
        <v>20</v>
      </c>
      <c r="E490" s="6">
        <v>63951.53</v>
      </c>
      <c r="F490" t="s">
        <v>11</v>
      </c>
      <c r="G490" t="s">
        <v>1430</v>
      </c>
      <c r="H490" t="s">
        <v>1431</v>
      </c>
      <c r="I490" s="116">
        <f>INT(tblTransactions[[#This Row],[TransactionDate]])</f>
        <v>46228</v>
      </c>
      <c r="J490" t="str">
        <f>IF(tblTransactions[[#This Row],[ApprovalID]]="", "R2 - Missing Approval Reference", "")</f>
        <v/>
      </c>
      <c r="K490" t="str">
        <f>IF(AND(tblTransactions[[#This Row],[ApprovalID]]&lt;&gt;"",COUNTIFS(tblApprovals[TransactionID],tblTransactions[[#This Row],[TransactionID]],tblApprovals[ApprovalID],tblTransactions[[#This Row],[ApprovalID]])=0),"R3 - Missing or Mismatched Approval Record", "")</f>
        <v/>
      </c>
      <c r="L49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0" t="str">
        <f>IF(AND(tblTransactions[[#This Row],[TransactionStatus]]="Success",COUNTIF(tblSettlement[TransactionID],tblTransactions[[#This Row],[TransactionID]])=0)," R5 - Successful Transaction Not Settled", "")</f>
        <v/>
      </c>
      <c r="N490" t="str">
        <f>IF(AND(COUNTIF(tblSettlement[TransactionID],tblTransactions[[#This Row],[TransactionID]])&gt;0,tblTransactions[[#This Row],[Amount]]&lt;&gt;SUMIF(tblSettlement[TransactionID],tblTransactions[[#This Row],[TransactionID]],tblSettlement[SettledAmount]))," R6 - Settlement Amount Mismatch", "")</f>
        <v/>
      </c>
      <c r="O490" t="str">
        <f>IF(AND(tblTransactions[[#This Row],[CustomerRef]] &lt;&gt;"",COUNTIFS(tblTransactions[CustomerRef],tblTransactions[[#This Row],[CustomerRef]],tblTransactions[Amount],tblTransactions[[#This Row],[Amount]],tblTransactions[Date],tblTransactions[[#This Row],[Date]])&gt;1),"Yes","No")</f>
        <v>No</v>
      </c>
    </row>
    <row r="491" spans="1:15" x14ac:dyDescent="0.3">
      <c r="A491" t="s">
        <v>1432</v>
      </c>
      <c r="B491" s="2">
        <v>46209.944444444445</v>
      </c>
      <c r="C491" t="s">
        <v>43</v>
      </c>
      <c r="D491" t="s">
        <v>29</v>
      </c>
      <c r="E491" s="6">
        <v>62850.6</v>
      </c>
      <c r="F491" t="s">
        <v>11</v>
      </c>
      <c r="G491" t="s">
        <v>1433</v>
      </c>
      <c r="H491" t="s">
        <v>1434</v>
      </c>
      <c r="I491" s="116">
        <f>INT(tblTransactions[[#This Row],[TransactionDate]])</f>
        <v>46209</v>
      </c>
      <c r="J491" t="str">
        <f>IF(tblTransactions[[#This Row],[ApprovalID]]="", "R2 - Missing Approval Reference", "")</f>
        <v/>
      </c>
      <c r="K491" t="str">
        <f>IF(AND(tblTransactions[[#This Row],[ApprovalID]]&lt;&gt;"",COUNTIFS(tblApprovals[TransactionID],tblTransactions[[#This Row],[TransactionID]],tblApprovals[ApprovalID],tblTransactions[[#This Row],[ApprovalID]])=0),"R3 - Missing or Mismatched Approval Record", "")</f>
        <v/>
      </c>
      <c r="L49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1" t="str">
        <f>IF(AND(tblTransactions[[#This Row],[TransactionStatus]]="Success",COUNTIF(tblSettlement[TransactionID],tblTransactions[[#This Row],[TransactionID]])=0)," R5 - Successful Transaction Not Settled", "")</f>
        <v/>
      </c>
      <c r="N491" t="str">
        <f>IF(AND(COUNTIF(tblSettlement[TransactionID],tblTransactions[[#This Row],[TransactionID]])&gt;0,tblTransactions[[#This Row],[Amount]]&lt;&gt;SUMIF(tblSettlement[TransactionID],tblTransactions[[#This Row],[TransactionID]],tblSettlement[SettledAmount]))," R6 - Settlement Amount Mismatch", "")</f>
        <v/>
      </c>
      <c r="O491" t="str">
        <f>IF(AND(tblTransactions[[#This Row],[CustomerRef]] &lt;&gt;"",COUNTIFS(tblTransactions[CustomerRef],tblTransactions[[#This Row],[CustomerRef]],tblTransactions[Amount],tblTransactions[[#This Row],[Amount]],tblTransactions[Date],tblTransactions[[#This Row],[Date]])&gt;1),"Yes","No")</f>
        <v>No</v>
      </c>
    </row>
    <row r="492" spans="1:15" x14ac:dyDescent="0.3">
      <c r="A492" t="s">
        <v>1435</v>
      </c>
      <c r="B492" s="2">
        <v>46221.625</v>
      </c>
      <c r="C492" t="s">
        <v>43</v>
      </c>
      <c r="D492" t="s">
        <v>15</v>
      </c>
      <c r="E492" s="6">
        <v>39894.730000000003</v>
      </c>
      <c r="F492" t="s">
        <v>11</v>
      </c>
      <c r="G492" t="s">
        <v>1436</v>
      </c>
      <c r="H492" t="s">
        <v>1437</v>
      </c>
      <c r="I492" s="116">
        <f>INT(tblTransactions[[#This Row],[TransactionDate]])</f>
        <v>46221</v>
      </c>
      <c r="J492" t="str">
        <f>IF(tblTransactions[[#This Row],[ApprovalID]]="", "R2 - Missing Approval Reference", "")</f>
        <v/>
      </c>
      <c r="K492" t="str">
        <f>IF(AND(tblTransactions[[#This Row],[ApprovalID]]&lt;&gt;"",COUNTIFS(tblApprovals[TransactionID],tblTransactions[[#This Row],[TransactionID]],tblApprovals[ApprovalID],tblTransactions[[#This Row],[ApprovalID]])=0),"R3 - Missing or Mismatched Approval Record", "")</f>
        <v/>
      </c>
      <c r="L49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2" t="str">
        <f>IF(AND(tblTransactions[[#This Row],[TransactionStatus]]="Success",COUNTIF(tblSettlement[TransactionID],tblTransactions[[#This Row],[TransactionID]])=0)," R5 - Successful Transaction Not Settled", "")</f>
        <v/>
      </c>
      <c r="N492" t="str">
        <f>IF(AND(COUNTIF(tblSettlement[TransactionID],tblTransactions[[#This Row],[TransactionID]])&gt;0,tblTransactions[[#This Row],[Amount]]&lt;&gt;SUMIF(tblSettlement[TransactionID],tblTransactions[[#This Row],[TransactionID]],tblSettlement[SettledAmount]))," R6 - Settlement Amount Mismatch", "")</f>
        <v/>
      </c>
      <c r="O492" t="str">
        <f>IF(AND(tblTransactions[[#This Row],[CustomerRef]] &lt;&gt;"",COUNTIFS(tblTransactions[CustomerRef],tblTransactions[[#This Row],[CustomerRef]],tblTransactions[Amount],tblTransactions[[#This Row],[Amount]],tblTransactions[Date],tblTransactions[[#This Row],[Date]])&gt;1),"Yes","No")</f>
        <v>No</v>
      </c>
    </row>
    <row r="493" spans="1:15" x14ac:dyDescent="0.3">
      <c r="A493" t="s">
        <v>1438</v>
      </c>
      <c r="B493" s="2">
        <v>46226.817361111112</v>
      </c>
      <c r="C493" t="s">
        <v>47</v>
      </c>
      <c r="D493" t="s">
        <v>29</v>
      </c>
      <c r="E493" s="6">
        <v>13230.36</v>
      </c>
      <c r="F493" t="s">
        <v>11</v>
      </c>
      <c r="G493" t="s">
        <v>1439</v>
      </c>
      <c r="H493" t="s">
        <v>1440</v>
      </c>
      <c r="I493" s="116">
        <f>INT(tblTransactions[[#This Row],[TransactionDate]])</f>
        <v>46226</v>
      </c>
      <c r="J493" t="str">
        <f>IF(tblTransactions[[#This Row],[ApprovalID]]="", "R2 - Missing Approval Reference", "")</f>
        <v/>
      </c>
      <c r="K493" t="str">
        <f>IF(AND(tblTransactions[[#This Row],[ApprovalID]]&lt;&gt;"",COUNTIFS(tblApprovals[TransactionID],tblTransactions[[#This Row],[TransactionID]],tblApprovals[ApprovalID],tblTransactions[[#This Row],[ApprovalID]])=0),"R3 - Missing or Mismatched Approval Record", "")</f>
        <v/>
      </c>
      <c r="L493"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3" t="str">
        <f>IF(AND(tblTransactions[[#This Row],[TransactionStatus]]="Success",COUNTIF(tblSettlement[TransactionID],tblTransactions[[#This Row],[TransactionID]])=0)," R5 - Successful Transaction Not Settled", "")</f>
        <v/>
      </c>
      <c r="N493" t="str">
        <f>IF(AND(COUNTIF(tblSettlement[TransactionID],tblTransactions[[#This Row],[TransactionID]])&gt;0,tblTransactions[[#This Row],[Amount]]&lt;&gt;SUMIF(tblSettlement[TransactionID],tblTransactions[[#This Row],[TransactionID]],tblSettlement[SettledAmount]))," R6 - Settlement Amount Mismatch", "")</f>
        <v/>
      </c>
      <c r="O493" t="str">
        <f>IF(AND(tblTransactions[[#This Row],[CustomerRef]] &lt;&gt;"",COUNTIFS(tblTransactions[CustomerRef],tblTransactions[[#This Row],[CustomerRef]],tblTransactions[Amount],tblTransactions[[#This Row],[Amount]],tblTransactions[Date],tblTransactions[[#This Row],[Date]])&gt;1),"Yes","No")</f>
        <v>No</v>
      </c>
    </row>
    <row r="494" spans="1:15" x14ac:dyDescent="0.3">
      <c r="A494" t="s">
        <v>1441</v>
      </c>
      <c r="B494" s="2">
        <v>46268.933333333334</v>
      </c>
      <c r="C494" t="s">
        <v>28</v>
      </c>
      <c r="D494" t="s">
        <v>69</v>
      </c>
      <c r="E494" s="6">
        <v>31545.19</v>
      </c>
      <c r="F494" t="s">
        <v>11</v>
      </c>
      <c r="G494" t="s">
        <v>1442</v>
      </c>
      <c r="H494" t="s">
        <v>1443</v>
      </c>
      <c r="I494" s="116">
        <f>INT(tblTransactions[[#This Row],[TransactionDate]])</f>
        <v>46268</v>
      </c>
      <c r="J494" t="str">
        <f>IF(tblTransactions[[#This Row],[ApprovalID]]="", "R2 - Missing Approval Reference", "")</f>
        <v/>
      </c>
      <c r="K494" t="str">
        <f>IF(AND(tblTransactions[[#This Row],[ApprovalID]]&lt;&gt;"",COUNTIFS(tblApprovals[TransactionID],tblTransactions[[#This Row],[TransactionID]],tblApprovals[ApprovalID],tblTransactions[[#This Row],[ApprovalID]])=0),"R3 - Missing or Mismatched Approval Record", "")</f>
        <v/>
      </c>
      <c r="L494"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4" t="str">
        <f>IF(AND(tblTransactions[[#This Row],[TransactionStatus]]="Success",COUNTIF(tblSettlement[TransactionID],tblTransactions[[#This Row],[TransactionID]])=0)," R5 - Successful Transaction Not Settled", "")</f>
        <v/>
      </c>
      <c r="N494" t="str">
        <f>IF(AND(COUNTIF(tblSettlement[TransactionID],tblTransactions[[#This Row],[TransactionID]])&gt;0,tblTransactions[[#This Row],[Amount]]&lt;&gt;SUMIF(tblSettlement[TransactionID],tblTransactions[[#This Row],[TransactionID]],tblSettlement[SettledAmount]))," R6 - Settlement Amount Mismatch", "")</f>
        <v/>
      </c>
      <c r="O494" t="str">
        <f>IF(AND(tblTransactions[[#This Row],[CustomerRef]] &lt;&gt;"",COUNTIFS(tblTransactions[CustomerRef],tblTransactions[[#This Row],[CustomerRef]],tblTransactions[Amount],tblTransactions[[#This Row],[Amount]],tblTransactions[Date],tblTransactions[[#This Row],[Date]])&gt;1),"Yes","No")</f>
        <v>No</v>
      </c>
    </row>
    <row r="495" spans="1:15" x14ac:dyDescent="0.3">
      <c r="A495" t="s">
        <v>1444</v>
      </c>
      <c r="B495" s="2">
        <v>46241.660416666666</v>
      </c>
      <c r="C495" t="s">
        <v>28</v>
      </c>
      <c r="D495" t="s">
        <v>15</v>
      </c>
      <c r="E495" s="6">
        <v>10219.540000000001</v>
      </c>
      <c r="F495" t="s">
        <v>11</v>
      </c>
      <c r="G495" t="s">
        <v>1445</v>
      </c>
      <c r="H495" t="s">
        <v>1446</v>
      </c>
      <c r="I495" s="116">
        <f>INT(tblTransactions[[#This Row],[TransactionDate]])</f>
        <v>46241</v>
      </c>
      <c r="J495" t="str">
        <f>IF(tblTransactions[[#This Row],[ApprovalID]]="", "R2 - Missing Approval Reference", "")</f>
        <v/>
      </c>
      <c r="K495" t="str">
        <f>IF(AND(tblTransactions[[#This Row],[ApprovalID]]&lt;&gt;"",COUNTIFS(tblApprovals[TransactionID],tblTransactions[[#This Row],[TransactionID]],tblApprovals[ApprovalID],tblTransactions[[#This Row],[ApprovalID]])=0),"R3 - Missing or Mismatched Approval Record", "")</f>
        <v/>
      </c>
      <c r="L495"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5" t="str">
        <f>IF(AND(tblTransactions[[#This Row],[TransactionStatus]]="Success",COUNTIF(tblSettlement[TransactionID],tblTransactions[[#This Row],[TransactionID]])=0)," R5 - Successful Transaction Not Settled", "")</f>
        <v/>
      </c>
      <c r="N495" t="str">
        <f>IF(AND(COUNTIF(tblSettlement[TransactionID],tblTransactions[[#This Row],[TransactionID]])&gt;0,tblTransactions[[#This Row],[Amount]]&lt;&gt;SUMIF(tblSettlement[TransactionID],tblTransactions[[#This Row],[TransactionID]],tblSettlement[SettledAmount]))," R6 - Settlement Amount Mismatch", "")</f>
        <v/>
      </c>
      <c r="O495" t="str">
        <f>IF(AND(tblTransactions[[#This Row],[CustomerRef]] &lt;&gt;"",COUNTIFS(tblTransactions[CustomerRef],tblTransactions[[#This Row],[CustomerRef]],tblTransactions[Amount],tblTransactions[[#This Row],[Amount]],tblTransactions[Date],tblTransactions[[#This Row],[Date]])&gt;1),"Yes","No")</f>
        <v>No</v>
      </c>
    </row>
    <row r="496" spans="1:15" x14ac:dyDescent="0.3">
      <c r="A496" t="s">
        <v>1447</v>
      </c>
      <c r="B496" s="2">
        <v>46244.824305555558</v>
      </c>
      <c r="C496" t="s">
        <v>9</v>
      </c>
      <c r="D496" t="s">
        <v>69</v>
      </c>
      <c r="E496" s="6">
        <v>70179.53</v>
      </c>
      <c r="F496" t="s">
        <v>11</v>
      </c>
      <c r="G496" t="s">
        <v>1448</v>
      </c>
      <c r="H496" t="s">
        <v>1449</v>
      </c>
      <c r="I496" s="116">
        <f>INT(tblTransactions[[#This Row],[TransactionDate]])</f>
        <v>46244</v>
      </c>
      <c r="J496" t="str">
        <f>IF(tblTransactions[[#This Row],[ApprovalID]]="", "R2 - Missing Approval Reference", "")</f>
        <v/>
      </c>
      <c r="K496" t="str">
        <f>IF(AND(tblTransactions[[#This Row],[ApprovalID]]&lt;&gt;"",COUNTIFS(tblApprovals[TransactionID],tblTransactions[[#This Row],[TransactionID]],tblApprovals[ApprovalID],tblTransactions[[#This Row],[ApprovalID]])=0),"R3 - Missing or Mismatched Approval Record", "")</f>
        <v/>
      </c>
      <c r="L496"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6" t="str">
        <f>IF(AND(tblTransactions[[#This Row],[TransactionStatus]]="Success",COUNTIF(tblSettlement[TransactionID],tblTransactions[[#This Row],[TransactionID]])=0)," R5 - Successful Transaction Not Settled", "")</f>
        <v/>
      </c>
      <c r="N496" t="str">
        <f>IF(AND(COUNTIF(tblSettlement[TransactionID],tblTransactions[[#This Row],[TransactionID]])&gt;0,tblTransactions[[#This Row],[Amount]]&lt;&gt;SUMIF(tblSettlement[TransactionID],tblTransactions[[#This Row],[TransactionID]],tblSettlement[SettledAmount]))," R6 - Settlement Amount Mismatch", "")</f>
        <v/>
      </c>
      <c r="O496" t="str">
        <f>IF(AND(tblTransactions[[#This Row],[CustomerRef]] &lt;&gt;"",COUNTIFS(tblTransactions[CustomerRef],tblTransactions[[#This Row],[CustomerRef]],tblTransactions[Amount],tblTransactions[[#This Row],[Amount]],tblTransactions[Date],tblTransactions[[#This Row],[Date]])&gt;1),"Yes","No")</f>
        <v>No</v>
      </c>
    </row>
    <row r="497" spans="1:15" x14ac:dyDescent="0.3">
      <c r="A497" t="s">
        <v>1450</v>
      </c>
      <c r="B497" s="2">
        <v>46291.581944444442</v>
      </c>
      <c r="C497" t="s">
        <v>28</v>
      </c>
      <c r="D497" t="s">
        <v>69</v>
      </c>
      <c r="E497" s="6">
        <v>50509.94</v>
      </c>
      <c r="F497" t="s">
        <v>36</v>
      </c>
      <c r="G497" t="s">
        <v>1451</v>
      </c>
      <c r="H497" t="s">
        <v>1452</v>
      </c>
      <c r="I497" s="116">
        <f>INT(tblTransactions[[#This Row],[TransactionDate]])</f>
        <v>46291</v>
      </c>
      <c r="J497" t="str">
        <f>IF(tblTransactions[[#This Row],[ApprovalID]]="", "R2 - Missing Approval Reference", "")</f>
        <v/>
      </c>
      <c r="K497" t="str">
        <f>IF(AND(tblTransactions[[#This Row],[ApprovalID]]&lt;&gt;"",COUNTIFS(tblApprovals[TransactionID],tblTransactions[[#This Row],[TransactionID]],tblApprovals[ApprovalID],tblTransactions[[#This Row],[ApprovalID]])=0),"R3 - Missing or Mismatched Approval Record", "")</f>
        <v/>
      </c>
      <c r="L497"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7" t="str">
        <f>IF(AND(tblTransactions[[#This Row],[TransactionStatus]]="Success",COUNTIF(tblSettlement[TransactionID],tblTransactions[[#This Row],[TransactionID]])=0)," R5 - Successful Transaction Not Settled", "")</f>
        <v/>
      </c>
      <c r="N497" t="str">
        <f>IF(AND(COUNTIF(tblSettlement[TransactionID],tblTransactions[[#This Row],[TransactionID]])&gt;0,tblTransactions[[#This Row],[Amount]]&lt;&gt;SUMIF(tblSettlement[TransactionID],tblTransactions[[#This Row],[TransactionID]],tblSettlement[SettledAmount]))," R6 - Settlement Amount Mismatch", "")</f>
        <v/>
      </c>
      <c r="O497" t="str">
        <f>IF(AND(tblTransactions[[#This Row],[CustomerRef]] &lt;&gt;"",COUNTIFS(tblTransactions[CustomerRef],tblTransactions[[#This Row],[CustomerRef]],tblTransactions[Amount],tblTransactions[[#This Row],[Amount]],tblTransactions[Date],tblTransactions[[#This Row],[Date]])&gt;1),"Yes","No")</f>
        <v>No</v>
      </c>
    </row>
    <row r="498" spans="1:15" x14ac:dyDescent="0.3">
      <c r="A498" t="s">
        <v>1453</v>
      </c>
      <c r="B498" s="2">
        <v>46294.408333333333</v>
      </c>
      <c r="C498" t="s">
        <v>19</v>
      </c>
      <c r="D498" t="s">
        <v>29</v>
      </c>
      <c r="E498" s="6">
        <v>26579.78</v>
      </c>
      <c r="F498" t="s">
        <v>11</v>
      </c>
      <c r="G498" t="s">
        <v>1454</v>
      </c>
      <c r="H498" t="s">
        <v>1455</v>
      </c>
      <c r="I498" s="116">
        <f>INT(tblTransactions[[#This Row],[TransactionDate]])</f>
        <v>46294</v>
      </c>
      <c r="J498" t="str">
        <f>IF(tblTransactions[[#This Row],[ApprovalID]]="", "R2 - Missing Approval Reference", "")</f>
        <v/>
      </c>
      <c r="K498" t="str">
        <f>IF(AND(tblTransactions[[#This Row],[ApprovalID]]&lt;&gt;"",COUNTIFS(tblApprovals[TransactionID],tblTransactions[[#This Row],[TransactionID]],tblApprovals[ApprovalID],tblTransactions[[#This Row],[ApprovalID]])=0),"R3 - Missing or Mismatched Approval Record", "")</f>
        <v/>
      </c>
      <c r="L498"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8" t="str">
        <f>IF(AND(tblTransactions[[#This Row],[TransactionStatus]]="Success",COUNTIF(tblSettlement[TransactionID],tblTransactions[[#This Row],[TransactionID]])=0)," R5 - Successful Transaction Not Settled", "")</f>
        <v/>
      </c>
      <c r="N498" t="str">
        <f>IF(AND(COUNTIF(tblSettlement[TransactionID],tblTransactions[[#This Row],[TransactionID]])&gt;0,tblTransactions[[#This Row],[Amount]]&lt;&gt;SUMIF(tblSettlement[TransactionID],tblTransactions[[#This Row],[TransactionID]],tblSettlement[SettledAmount]))," R6 - Settlement Amount Mismatch", "")</f>
        <v/>
      </c>
      <c r="O498" t="str">
        <f>IF(AND(tblTransactions[[#This Row],[CustomerRef]] &lt;&gt;"",COUNTIFS(tblTransactions[CustomerRef],tblTransactions[[#This Row],[CustomerRef]],tblTransactions[Amount],tblTransactions[[#This Row],[Amount]],tblTransactions[Date],tblTransactions[[#This Row],[Date]])&gt;1),"Yes","No")</f>
        <v>No</v>
      </c>
    </row>
    <row r="499" spans="1:15" x14ac:dyDescent="0.3">
      <c r="A499" t="s">
        <v>1456</v>
      </c>
      <c r="B499" s="2">
        <v>46240.95416666667</v>
      </c>
      <c r="C499" t="s">
        <v>47</v>
      </c>
      <c r="D499" t="s">
        <v>10</v>
      </c>
      <c r="E499" s="6">
        <v>31823.38</v>
      </c>
      <c r="F499" t="s">
        <v>11</v>
      </c>
      <c r="G499" t="s">
        <v>1457</v>
      </c>
      <c r="H499" t="s">
        <v>1458</v>
      </c>
      <c r="I499" s="116">
        <f>INT(tblTransactions[[#This Row],[TransactionDate]])</f>
        <v>46240</v>
      </c>
      <c r="J499" t="str">
        <f>IF(tblTransactions[[#This Row],[ApprovalID]]="", "R2 - Missing Approval Reference", "")</f>
        <v/>
      </c>
      <c r="K499" t="str">
        <f>IF(AND(tblTransactions[[#This Row],[ApprovalID]]&lt;&gt;"",COUNTIFS(tblApprovals[TransactionID],tblTransactions[[#This Row],[TransactionID]],tblApprovals[ApprovalID],tblTransactions[[#This Row],[ApprovalID]])=0),"R3 - Missing or Mismatched Approval Record", "")</f>
        <v/>
      </c>
      <c r="L499"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499" t="str">
        <f>IF(AND(tblTransactions[[#This Row],[TransactionStatus]]="Success",COUNTIF(tblSettlement[TransactionID],tblTransactions[[#This Row],[TransactionID]])=0)," R5 - Successful Transaction Not Settled", "")</f>
        <v/>
      </c>
      <c r="N499" t="str">
        <f>IF(AND(COUNTIF(tblSettlement[TransactionID],tblTransactions[[#This Row],[TransactionID]])&gt;0,tblTransactions[[#This Row],[Amount]]&lt;&gt;SUMIF(tblSettlement[TransactionID],tblTransactions[[#This Row],[TransactionID]],tblSettlement[SettledAmount]))," R6 - Settlement Amount Mismatch", "")</f>
        <v/>
      </c>
      <c r="O499" t="str">
        <f>IF(AND(tblTransactions[[#This Row],[CustomerRef]] &lt;&gt;"",COUNTIFS(tblTransactions[CustomerRef],tblTransactions[[#This Row],[CustomerRef]],tblTransactions[Amount],tblTransactions[[#This Row],[Amount]],tblTransactions[Date],tblTransactions[[#This Row],[Date]])&gt;1),"Yes","No")</f>
        <v>No</v>
      </c>
    </row>
    <row r="500" spans="1:15" x14ac:dyDescent="0.3">
      <c r="A500" t="s">
        <v>1459</v>
      </c>
      <c r="B500" s="2">
        <v>46289.341666666667</v>
      </c>
      <c r="C500" t="s">
        <v>24</v>
      </c>
      <c r="D500" t="s">
        <v>20</v>
      </c>
      <c r="E500" s="6">
        <v>20206.63</v>
      </c>
      <c r="F500" t="s">
        <v>11</v>
      </c>
      <c r="G500" t="s">
        <v>1460</v>
      </c>
      <c r="H500" t="s">
        <v>1461</v>
      </c>
      <c r="I500" s="116">
        <f>INT(tblTransactions[[#This Row],[TransactionDate]])</f>
        <v>46289</v>
      </c>
      <c r="J500" t="str">
        <f>IF(tblTransactions[[#This Row],[ApprovalID]]="", "R2 - Missing Approval Reference", "")</f>
        <v/>
      </c>
      <c r="K500" t="str">
        <f>IF(AND(tblTransactions[[#This Row],[ApprovalID]]&lt;&gt;"",COUNTIFS(tblApprovals[TransactionID],tblTransactions[[#This Row],[TransactionID]],tblApprovals[ApprovalID],tblTransactions[[#This Row],[ApprovalID]])=0),"R3 - Missing or Mismatched Approval Record", "")</f>
        <v/>
      </c>
      <c r="L500"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R4 - Approval Not Approved</v>
      </c>
      <c r="M500" t="str">
        <f>IF(AND(tblTransactions[[#This Row],[TransactionStatus]]="Success",COUNTIF(tblSettlement[TransactionID],tblTransactions[[#This Row],[TransactionID]])=0)," R5 - Successful Transaction Not Settled", "")</f>
        <v/>
      </c>
      <c r="N500" t="str">
        <f>IF(AND(COUNTIF(tblSettlement[TransactionID],tblTransactions[[#This Row],[TransactionID]])&gt;0,tblTransactions[[#This Row],[Amount]]&lt;&gt;SUMIF(tblSettlement[TransactionID],tblTransactions[[#This Row],[TransactionID]],tblSettlement[SettledAmount]))," R6 - Settlement Amount Mismatch", "")</f>
        <v/>
      </c>
      <c r="O500" t="str">
        <f>IF(AND(tblTransactions[[#This Row],[CustomerRef]] &lt;&gt;"",COUNTIFS(tblTransactions[CustomerRef],tblTransactions[[#This Row],[CustomerRef]],tblTransactions[Amount],tblTransactions[[#This Row],[Amount]],tblTransactions[Date],tblTransactions[[#This Row],[Date]])&gt;1),"Yes","No")</f>
        <v>No</v>
      </c>
    </row>
    <row r="501" spans="1:15" x14ac:dyDescent="0.3">
      <c r="A501" t="s">
        <v>1462</v>
      </c>
      <c r="B501" s="2">
        <v>46292.845833333333</v>
      </c>
      <c r="C501" t="s">
        <v>24</v>
      </c>
      <c r="D501" t="s">
        <v>29</v>
      </c>
      <c r="E501" s="6">
        <v>15499.07</v>
      </c>
      <c r="F501" t="s">
        <v>11</v>
      </c>
      <c r="G501" t="s">
        <v>1463</v>
      </c>
      <c r="H501" t="s">
        <v>1464</v>
      </c>
      <c r="I501" s="116">
        <f>INT(tblTransactions[[#This Row],[TransactionDate]])</f>
        <v>46292</v>
      </c>
      <c r="J501" t="str">
        <f>IF(tblTransactions[[#This Row],[ApprovalID]]="", "R2 - Missing Approval Reference", "")</f>
        <v/>
      </c>
      <c r="K501" t="str">
        <f>IF(AND(tblTransactions[[#This Row],[ApprovalID]]&lt;&gt;"",COUNTIFS(tblApprovals[TransactionID],tblTransactions[[#This Row],[TransactionID]],tblApprovals[ApprovalID],tblTransactions[[#This Row],[ApprovalID]])=0),"R3 - Missing or Mismatched Approval Record", "")</f>
        <v/>
      </c>
      <c r="L501"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01" t="str">
        <f>IF(AND(tblTransactions[[#This Row],[TransactionStatus]]="Success",COUNTIF(tblSettlement[TransactionID],tblTransactions[[#This Row],[TransactionID]])=0)," R5 - Successful Transaction Not Settled", "")</f>
        <v/>
      </c>
      <c r="N501" t="str">
        <f>IF(AND(COUNTIF(tblSettlement[TransactionID],tblTransactions[[#This Row],[TransactionID]])&gt;0,tblTransactions[[#This Row],[Amount]]&lt;&gt;SUMIF(tblSettlement[TransactionID],tblTransactions[[#This Row],[TransactionID]],tblSettlement[SettledAmount]))," R6 - Settlement Amount Mismatch", "")</f>
        <v/>
      </c>
      <c r="O501" t="str">
        <f>IF(AND(tblTransactions[[#This Row],[CustomerRef]] &lt;&gt;"",COUNTIFS(tblTransactions[CustomerRef],tblTransactions[[#This Row],[CustomerRef]],tblTransactions[Amount],tblTransactions[[#This Row],[Amount]],tblTransactions[Date],tblTransactions[[#This Row],[Date]])&gt;1),"Yes","No")</f>
        <v>No</v>
      </c>
    </row>
    <row r="502" spans="1:15" x14ac:dyDescent="0.3">
      <c r="A502" t="s">
        <v>1465</v>
      </c>
      <c r="B502" s="2">
        <v>46226.834027777775</v>
      </c>
      <c r="C502" t="s">
        <v>28</v>
      </c>
      <c r="D502" t="s">
        <v>69</v>
      </c>
      <c r="E502" s="6">
        <v>25080.86</v>
      </c>
      <c r="F502" t="s">
        <v>111</v>
      </c>
      <c r="G502" t="s">
        <v>151</v>
      </c>
      <c r="H502" t="s">
        <v>152</v>
      </c>
      <c r="I502" s="116">
        <f>INT(tblTransactions[[#This Row],[TransactionDate]])</f>
        <v>46226</v>
      </c>
      <c r="J502" t="str">
        <f>IF(tblTransactions[[#This Row],[ApprovalID]]="", "R2 - Missing Approval Reference", "")</f>
        <v/>
      </c>
      <c r="K502" t="str">
        <f>IF(AND(tblTransactions[[#This Row],[ApprovalID]]&lt;&gt;"",COUNTIFS(tblApprovals[TransactionID],tblTransactions[[#This Row],[TransactionID]],tblApprovals[ApprovalID],tblTransactions[[#This Row],[ApprovalID]])=0),"R3 - Missing or Mismatched Approval Record", "")</f>
        <v/>
      </c>
      <c r="L502" t="str">
        <f>IF(AND(tblTransactions[[#This Row],[ApprovalID]]&lt;&gt;"",COUNTIFS(tblApprovals[TransactionID],tblTransactions[[#This Row],[TransactionID]],tblApprovals[ApprovalID],tblTransactions[[#This Row],[ApprovalID]])&gt;0,COUNTIFS(tblApprovals[TransactionID],tblTransactions[[#This Row],[TransactionID]],tblApprovals[ApprovalID],tblTransactions[[#This Row],[ApprovalID]],tblApprovals[ApprovalStatus], "&lt;&gt;Approved")&gt;0), "R4 - Approval Not Approved", "")</f>
        <v/>
      </c>
      <c r="M502" t="str">
        <f>IF(AND(tblTransactions[[#This Row],[TransactionStatus]]="Success",COUNTIF(tblSettlement[TransactionID],tblTransactions[[#This Row],[TransactionID]])=0)," R5 - Successful Transaction Not Settled", "")</f>
        <v/>
      </c>
      <c r="N502" t="str">
        <f>IF(AND(COUNTIF(tblSettlement[TransactionID],tblTransactions[[#This Row],[TransactionID]])&gt;0,tblTransactions[[#This Row],[Amount]]&lt;&gt;SUMIF(tblSettlement[TransactionID],tblTransactions[[#This Row],[TransactionID]],tblSettlement[SettledAmount]))," R6 - Settlement Amount Mismatch", "")</f>
        <v/>
      </c>
      <c r="O502" t="str">
        <f>IF(AND(tblTransactions[[#This Row],[CustomerRef]] &lt;&gt;"",COUNTIFS(tblTransactions[CustomerRef],tblTransactions[[#This Row],[CustomerRef]],tblTransactions[Amount],tblTransactions[[#This Row],[Amount]],tblTransactions[Date],tblTransactions[[#This Row],[Date]])&gt;1),"Yes","No")</f>
        <v>Yes</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6975-71A9-4545-8EF7-81FDB98BC2A9}">
  <dimension ref="A1:F426"/>
  <sheetViews>
    <sheetView workbookViewId="0">
      <selection activeCell="F1" sqref="F1"/>
    </sheetView>
  </sheetViews>
  <sheetFormatPr defaultRowHeight="14.4" x14ac:dyDescent="0.3"/>
  <cols>
    <col min="1" max="1" width="15.33203125" bestFit="1" customWidth="1"/>
    <col min="2" max="2" width="14.77734375" bestFit="1" customWidth="1"/>
    <col min="3" max="3" width="16.44140625" bestFit="1" customWidth="1"/>
    <col min="4" max="4" width="16.109375" bestFit="1" customWidth="1"/>
    <col min="5" max="5" width="17.77734375" bestFit="1" customWidth="1"/>
    <col min="6" max="6" width="20.6640625" bestFit="1" customWidth="1"/>
  </cols>
  <sheetData>
    <row r="1" spans="1:6" x14ac:dyDescent="0.3">
      <c r="A1" s="1" t="s">
        <v>1474</v>
      </c>
      <c r="B1" s="1" t="s">
        <v>0</v>
      </c>
      <c r="C1" s="1" t="s">
        <v>1475</v>
      </c>
      <c r="D1" s="1" t="s">
        <v>1476</v>
      </c>
      <c r="E1" s="1" t="s">
        <v>1477</v>
      </c>
      <c r="F1" s="1" t="s">
        <v>1995</v>
      </c>
    </row>
    <row r="2" spans="1:6" x14ac:dyDescent="0.3">
      <c r="A2" t="s">
        <v>1478</v>
      </c>
      <c r="B2" t="s">
        <v>8</v>
      </c>
      <c r="C2" s="2">
        <v>46286.375694444447</v>
      </c>
      <c r="D2" s="6">
        <v>55680.9</v>
      </c>
      <c r="E2" t="s">
        <v>1479</v>
      </c>
      <c r="F2" t="str">
        <f>IF(AND(tblSettlement[[#This Row],[TransactionID]]&lt;&gt;"", COUNTIF(tblTransactions[TransactionID],tblSettlement[[#This Row],[TransactionID]])=0), " R7 - Orphan Settlement", "")</f>
        <v/>
      </c>
    </row>
    <row r="3" spans="1:6" x14ac:dyDescent="0.3">
      <c r="A3" t="s">
        <v>1480</v>
      </c>
      <c r="B3" t="s">
        <v>14</v>
      </c>
      <c r="C3" s="2">
        <v>46217.727083333331</v>
      </c>
      <c r="D3" s="6">
        <v>2625.76</v>
      </c>
      <c r="E3" t="s">
        <v>1479</v>
      </c>
      <c r="F3" t="str">
        <f>IF(AND(tblSettlement[[#This Row],[TransactionID]]&lt;&gt;"", COUNTIF(tblTransactions[TransactionID],tblSettlement[[#This Row],[TransactionID]])=0), " R7 - Orphan Settlement", "")</f>
        <v/>
      </c>
    </row>
    <row r="4" spans="1:6" x14ac:dyDescent="0.3">
      <c r="A4" t="s">
        <v>1481</v>
      </c>
      <c r="B4" t="s">
        <v>18</v>
      </c>
      <c r="C4" s="2">
        <v>46298.780555555553</v>
      </c>
      <c r="D4" s="6">
        <v>40984.379999999997</v>
      </c>
      <c r="E4" t="s">
        <v>1479</v>
      </c>
      <c r="F4" t="str">
        <f>IF(AND(tblSettlement[[#This Row],[TransactionID]]&lt;&gt;"", COUNTIF(tblTransactions[TransactionID],tblSettlement[[#This Row],[TransactionID]])=0), " R7 - Orphan Settlement", "")</f>
        <v/>
      </c>
    </row>
    <row r="5" spans="1:6" x14ac:dyDescent="0.3">
      <c r="A5" t="s">
        <v>1482</v>
      </c>
      <c r="B5" t="s">
        <v>23</v>
      </c>
      <c r="C5" s="2">
        <v>46226.810416666667</v>
      </c>
      <c r="D5" s="6">
        <v>25683.73</v>
      </c>
      <c r="E5" t="s">
        <v>1479</v>
      </c>
      <c r="F5" t="str">
        <f>IF(AND(tblSettlement[[#This Row],[TransactionID]]&lt;&gt;"", COUNTIF(tblTransactions[TransactionID],tblSettlement[[#This Row],[TransactionID]])=0), " R7 - Orphan Settlement", "")</f>
        <v/>
      </c>
    </row>
    <row r="6" spans="1:6" x14ac:dyDescent="0.3">
      <c r="A6" t="s">
        <v>1483</v>
      </c>
      <c r="B6" t="s">
        <v>27</v>
      </c>
      <c r="C6" s="2">
        <v>46251.890277777777</v>
      </c>
      <c r="D6" s="6">
        <v>45378.52</v>
      </c>
      <c r="E6" t="s">
        <v>1479</v>
      </c>
      <c r="F6" t="str">
        <f>IF(AND(tblSettlement[[#This Row],[TransactionID]]&lt;&gt;"", COUNTIF(tblTransactions[TransactionID],tblSettlement[[#This Row],[TransactionID]])=0), " R7 - Orphan Settlement", "")</f>
        <v/>
      </c>
    </row>
    <row r="7" spans="1:6" x14ac:dyDescent="0.3">
      <c r="A7" t="s">
        <v>1484</v>
      </c>
      <c r="B7" t="s">
        <v>32</v>
      </c>
      <c r="C7" s="2">
        <v>46217.679166666669</v>
      </c>
      <c r="D7" s="6">
        <v>62248</v>
      </c>
      <c r="E7" t="s">
        <v>1479</v>
      </c>
      <c r="F7" t="str">
        <f>IF(AND(tblSettlement[[#This Row],[TransactionID]]&lt;&gt;"", COUNTIF(tblTransactions[TransactionID],tblSettlement[[#This Row],[TransactionID]])=0), " R7 - Orphan Settlement", "")</f>
        <v/>
      </c>
    </row>
    <row r="8" spans="1:6" x14ac:dyDescent="0.3">
      <c r="A8" t="s">
        <v>1485</v>
      </c>
      <c r="B8" t="s">
        <v>39</v>
      </c>
      <c r="C8" s="2">
        <v>46287.890972222223</v>
      </c>
      <c r="D8" s="6">
        <v>12408.39</v>
      </c>
      <c r="E8" t="s">
        <v>1479</v>
      </c>
      <c r="F8" t="str">
        <f>IF(AND(tblSettlement[[#This Row],[TransactionID]]&lt;&gt;"", COUNTIF(tblTransactions[TransactionID],tblSettlement[[#This Row],[TransactionID]])=0), " R7 - Orphan Settlement", "")</f>
        <v/>
      </c>
    </row>
    <row r="9" spans="1:6" x14ac:dyDescent="0.3">
      <c r="A9" t="s">
        <v>1486</v>
      </c>
      <c r="B9" t="s">
        <v>42</v>
      </c>
      <c r="C9" s="2">
        <v>46282.756944444445</v>
      </c>
      <c r="D9" s="6">
        <v>40176.959999999999</v>
      </c>
      <c r="E9" t="s">
        <v>1479</v>
      </c>
      <c r="F9" t="str">
        <f>IF(AND(tblSettlement[[#This Row],[TransactionID]]&lt;&gt;"", COUNTIF(tblTransactions[TransactionID],tblSettlement[[#This Row],[TransactionID]])=0), " R7 - Orphan Settlement", "")</f>
        <v/>
      </c>
    </row>
    <row r="10" spans="1:6" x14ac:dyDescent="0.3">
      <c r="A10" t="s">
        <v>1487</v>
      </c>
      <c r="B10" t="s">
        <v>46</v>
      </c>
      <c r="C10" s="2">
        <v>46293.578472222223</v>
      </c>
      <c r="D10" s="6">
        <v>57681.440000000002</v>
      </c>
      <c r="E10" t="s">
        <v>1479</v>
      </c>
      <c r="F10" t="str">
        <f>IF(AND(tblSettlement[[#This Row],[TransactionID]]&lt;&gt;"", COUNTIF(tblTransactions[TransactionID],tblSettlement[[#This Row],[TransactionID]])=0), " R7 - Orphan Settlement", "")</f>
        <v/>
      </c>
    </row>
    <row r="11" spans="1:6" x14ac:dyDescent="0.3">
      <c r="A11" t="s">
        <v>1488</v>
      </c>
      <c r="B11" t="s">
        <v>50</v>
      </c>
      <c r="C11" s="2">
        <v>46231.941666666666</v>
      </c>
      <c r="D11" s="6">
        <v>65758.48</v>
      </c>
      <c r="E11" t="s">
        <v>1479</v>
      </c>
      <c r="F11" t="str">
        <f>IF(AND(tblSettlement[[#This Row],[TransactionID]]&lt;&gt;"", COUNTIF(tblTransactions[TransactionID],tblSettlement[[#This Row],[TransactionID]])=0), " R7 - Orphan Settlement", "")</f>
        <v/>
      </c>
    </row>
    <row r="12" spans="1:6" x14ac:dyDescent="0.3">
      <c r="A12" t="s">
        <v>1489</v>
      </c>
      <c r="B12" t="s">
        <v>53</v>
      </c>
      <c r="C12" s="2">
        <v>46222.505555555559</v>
      </c>
      <c r="D12" s="6">
        <v>18685.41</v>
      </c>
      <c r="E12" t="s">
        <v>1479</v>
      </c>
      <c r="F12" t="str">
        <f>IF(AND(tblSettlement[[#This Row],[TransactionID]]&lt;&gt;"", COUNTIF(tblTransactions[TransactionID],tblSettlement[[#This Row],[TransactionID]])=0), " R7 - Orphan Settlement", "")</f>
        <v/>
      </c>
    </row>
    <row r="13" spans="1:6" x14ac:dyDescent="0.3">
      <c r="A13" t="s">
        <v>1490</v>
      </c>
      <c r="B13" t="s">
        <v>56</v>
      </c>
      <c r="C13" s="2">
        <v>46252.463888888888</v>
      </c>
      <c r="D13" s="6">
        <v>38337.089999999997</v>
      </c>
      <c r="E13" t="s">
        <v>1479</v>
      </c>
      <c r="F13" t="str">
        <f>IF(AND(tblSettlement[[#This Row],[TransactionID]]&lt;&gt;"", COUNTIF(tblTransactions[TransactionID],tblSettlement[[#This Row],[TransactionID]])=0), " R7 - Orphan Settlement", "")</f>
        <v/>
      </c>
    </row>
    <row r="14" spans="1:6" x14ac:dyDescent="0.3">
      <c r="A14" t="s">
        <v>1491</v>
      </c>
      <c r="B14" t="s">
        <v>59</v>
      </c>
      <c r="C14" s="2">
        <v>46293.609722222223</v>
      </c>
      <c r="D14" s="6">
        <v>4998.7</v>
      </c>
      <c r="E14" t="s">
        <v>1479</v>
      </c>
      <c r="F14" t="str">
        <f>IF(AND(tblSettlement[[#This Row],[TransactionID]]&lt;&gt;"", COUNTIF(tblTransactions[TransactionID],tblSettlement[[#This Row],[TransactionID]])=0), " R7 - Orphan Settlement", "")</f>
        <v/>
      </c>
    </row>
    <row r="15" spans="1:6" x14ac:dyDescent="0.3">
      <c r="A15" t="s">
        <v>1492</v>
      </c>
      <c r="B15" t="s">
        <v>65</v>
      </c>
      <c r="C15" s="2">
        <v>46224.625</v>
      </c>
      <c r="D15" s="6">
        <v>71547.740000000005</v>
      </c>
      <c r="E15" t="s">
        <v>1479</v>
      </c>
      <c r="F15" t="str">
        <f>IF(AND(tblSettlement[[#This Row],[TransactionID]]&lt;&gt;"", COUNTIF(tblTransactions[TransactionID],tblSettlement[[#This Row],[TransactionID]])=0), " R7 - Orphan Settlement", "")</f>
        <v/>
      </c>
    </row>
    <row r="16" spans="1:6" x14ac:dyDescent="0.3">
      <c r="A16" t="s">
        <v>1493</v>
      </c>
      <c r="B16" t="s">
        <v>68</v>
      </c>
      <c r="C16" s="2">
        <v>46217.902777777781</v>
      </c>
      <c r="D16" s="6">
        <v>22558.75</v>
      </c>
      <c r="E16" t="s">
        <v>1479</v>
      </c>
      <c r="F16" t="str">
        <f>IF(AND(tblSettlement[[#This Row],[TransactionID]]&lt;&gt;"", COUNTIF(tblTransactions[TransactionID],tblSettlement[[#This Row],[TransactionID]])=0), " R7 - Orphan Settlement", "")</f>
        <v/>
      </c>
    </row>
    <row r="17" spans="1:6" x14ac:dyDescent="0.3">
      <c r="A17" t="s">
        <v>1494</v>
      </c>
      <c r="B17" t="s">
        <v>72</v>
      </c>
      <c r="C17" s="2">
        <v>46275.874305555553</v>
      </c>
      <c r="D17" s="6">
        <v>39893.94</v>
      </c>
      <c r="E17" t="s">
        <v>1479</v>
      </c>
      <c r="F17" t="str">
        <f>IF(AND(tblSettlement[[#This Row],[TransactionID]]&lt;&gt;"", COUNTIF(tblTransactions[TransactionID],tblSettlement[[#This Row],[TransactionID]])=0), " R7 - Orphan Settlement", "")</f>
        <v/>
      </c>
    </row>
    <row r="18" spans="1:6" x14ac:dyDescent="0.3">
      <c r="A18" t="s">
        <v>1495</v>
      </c>
      <c r="B18" t="s">
        <v>74</v>
      </c>
      <c r="C18" s="2">
        <v>46245.460416666669</v>
      </c>
      <c r="D18" s="6">
        <v>18255.150000000001</v>
      </c>
      <c r="E18" t="s">
        <v>1479</v>
      </c>
      <c r="F18" t="str">
        <f>IF(AND(tblSettlement[[#This Row],[TransactionID]]&lt;&gt;"", COUNTIF(tblTransactions[TransactionID],tblSettlement[[#This Row],[TransactionID]])=0), " R7 - Orphan Settlement", "")</f>
        <v/>
      </c>
    </row>
    <row r="19" spans="1:6" x14ac:dyDescent="0.3">
      <c r="A19" t="s">
        <v>1496</v>
      </c>
      <c r="B19" t="s">
        <v>77</v>
      </c>
      <c r="C19" s="2">
        <v>46273.838888888888</v>
      </c>
      <c r="D19" s="6">
        <v>9847.26</v>
      </c>
      <c r="E19" t="s">
        <v>1479</v>
      </c>
      <c r="F19" t="str">
        <f>IF(AND(tblSettlement[[#This Row],[TransactionID]]&lt;&gt;"", COUNTIF(tblTransactions[TransactionID],tblSettlement[[#This Row],[TransactionID]])=0), " R7 - Orphan Settlement", "")</f>
        <v/>
      </c>
    </row>
    <row r="20" spans="1:6" x14ac:dyDescent="0.3">
      <c r="A20" t="s">
        <v>1497</v>
      </c>
      <c r="B20" t="s">
        <v>80</v>
      </c>
      <c r="C20" s="2">
        <v>46232.94027777778</v>
      </c>
      <c r="D20" s="6">
        <v>56706.07</v>
      </c>
      <c r="E20" t="s">
        <v>1479</v>
      </c>
      <c r="F20" t="str">
        <f>IF(AND(tblSettlement[[#This Row],[TransactionID]]&lt;&gt;"", COUNTIF(tblTransactions[TransactionID],tblSettlement[[#This Row],[TransactionID]])=0), " R7 - Orphan Settlement", "")</f>
        <v/>
      </c>
    </row>
    <row r="21" spans="1:6" x14ac:dyDescent="0.3">
      <c r="A21" t="s">
        <v>1498</v>
      </c>
      <c r="B21" t="s">
        <v>83</v>
      </c>
      <c r="C21" s="2">
        <v>46260.939583333333</v>
      </c>
      <c r="D21" s="6">
        <v>33998.589999999997</v>
      </c>
      <c r="E21" t="s">
        <v>1479</v>
      </c>
      <c r="F21" t="str">
        <f>IF(AND(tblSettlement[[#This Row],[TransactionID]]&lt;&gt;"", COUNTIF(tblTransactions[TransactionID],tblSettlement[[#This Row],[TransactionID]])=0), " R7 - Orphan Settlement", "")</f>
        <v/>
      </c>
    </row>
    <row r="22" spans="1:6" x14ac:dyDescent="0.3">
      <c r="A22" t="s">
        <v>1499</v>
      </c>
      <c r="B22" t="s">
        <v>85</v>
      </c>
      <c r="C22" s="2">
        <v>46281.458333333336</v>
      </c>
      <c r="D22" s="6">
        <v>5556.73</v>
      </c>
      <c r="E22" t="s">
        <v>1479</v>
      </c>
      <c r="F22" t="str">
        <f>IF(AND(tblSettlement[[#This Row],[TransactionID]]&lt;&gt;"", COUNTIF(tblTransactions[TransactionID],tblSettlement[[#This Row],[TransactionID]])=0), " R7 - Orphan Settlement", "")</f>
        <v/>
      </c>
    </row>
    <row r="23" spans="1:6" x14ac:dyDescent="0.3">
      <c r="A23" t="s">
        <v>1500</v>
      </c>
      <c r="B23" t="s">
        <v>88</v>
      </c>
      <c r="C23" s="2">
        <v>46216.677083333336</v>
      </c>
      <c r="D23" s="6">
        <v>21066.18</v>
      </c>
      <c r="E23" t="s">
        <v>1479</v>
      </c>
      <c r="F23" t="str">
        <f>IF(AND(tblSettlement[[#This Row],[TransactionID]]&lt;&gt;"", COUNTIF(tblTransactions[TransactionID],tblSettlement[[#This Row],[TransactionID]])=0), " R7 - Orphan Settlement", "")</f>
        <v/>
      </c>
    </row>
    <row r="24" spans="1:6" x14ac:dyDescent="0.3">
      <c r="A24" t="s">
        <v>1501</v>
      </c>
      <c r="B24" t="s">
        <v>91</v>
      </c>
      <c r="C24" s="2">
        <v>46235.854166666664</v>
      </c>
      <c r="D24" s="6">
        <v>60610.400000000001</v>
      </c>
      <c r="E24" t="s">
        <v>1479</v>
      </c>
      <c r="F24" t="str">
        <f>IF(AND(tblSettlement[[#This Row],[TransactionID]]&lt;&gt;"", COUNTIF(tblTransactions[TransactionID],tblSettlement[[#This Row],[TransactionID]])=0), " R7 - Orphan Settlement", "")</f>
        <v/>
      </c>
    </row>
    <row r="25" spans="1:6" x14ac:dyDescent="0.3">
      <c r="A25" t="s">
        <v>1502</v>
      </c>
      <c r="B25" t="s">
        <v>94</v>
      </c>
      <c r="C25" s="2">
        <v>46264.906944444447</v>
      </c>
      <c r="D25" s="6">
        <v>4299.3</v>
      </c>
      <c r="E25" t="s">
        <v>1479</v>
      </c>
      <c r="F25" t="str">
        <f>IF(AND(tblSettlement[[#This Row],[TransactionID]]&lt;&gt;"", COUNTIF(tblTransactions[TransactionID],tblSettlement[[#This Row],[TransactionID]])=0), " R7 - Orphan Settlement", "")</f>
        <v/>
      </c>
    </row>
    <row r="26" spans="1:6" x14ac:dyDescent="0.3">
      <c r="A26" t="s">
        <v>1503</v>
      </c>
      <c r="B26" t="s">
        <v>96</v>
      </c>
      <c r="C26" s="2">
        <v>46218.466666666667</v>
      </c>
      <c r="D26" s="6">
        <v>14468.12</v>
      </c>
      <c r="E26" t="s">
        <v>1479</v>
      </c>
      <c r="F26" t="str">
        <f>IF(AND(tblSettlement[[#This Row],[TransactionID]]&lt;&gt;"", COUNTIF(tblTransactions[TransactionID],tblSettlement[[#This Row],[TransactionID]])=0), " R7 - Orphan Settlement", "")</f>
        <v/>
      </c>
    </row>
    <row r="27" spans="1:6" x14ac:dyDescent="0.3">
      <c r="A27" t="s">
        <v>1504</v>
      </c>
      <c r="B27" t="s">
        <v>99</v>
      </c>
      <c r="C27" s="2">
        <v>46215.660416666666</v>
      </c>
      <c r="D27" s="6">
        <v>64635.85</v>
      </c>
      <c r="E27" t="s">
        <v>1479</v>
      </c>
      <c r="F27" t="str">
        <f>IF(AND(tblSettlement[[#This Row],[TransactionID]]&lt;&gt;"", COUNTIF(tblTransactions[TransactionID],tblSettlement[[#This Row],[TransactionID]])=0), " R7 - Orphan Settlement", "")</f>
        <v/>
      </c>
    </row>
    <row r="28" spans="1:6" x14ac:dyDescent="0.3">
      <c r="A28" t="s">
        <v>1505</v>
      </c>
      <c r="B28" t="s">
        <v>102</v>
      </c>
      <c r="C28" s="2">
        <v>46234.43472222222</v>
      </c>
      <c r="D28" s="6">
        <v>36551.67</v>
      </c>
      <c r="E28" t="s">
        <v>1479</v>
      </c>
      <c r="F28" t="str">
        <f>IF(AND(tblSettlement[[#This Row],[TransactionID]]&lt;&gt;"", COUNTIF(tblTransactions[TransactionID],tblSettlement[[#This Row],[TransactionID]])=0), " R7 - Orphan Settlement", "")</f>
        <v/>
      </c>
    </row>
    <row r="29" spans="1:6" x14ac:dyDescent="0.3">
      <c r="A29" t="s">
        <v>1506</v>
      </c>
      <c r="B29" t="s">
        <v>105</v>
      </c>
      <c r="C29" s="2">
        <v>46255.540972222225</v>
      </c>
      <c r="D29" s="6">
        <v>58859.28</v>
      </c>
      <c r="E29" t="s">
        <v>1479</v>
      </c>
      <c r="F29" t="str">
        <f>IF(AND(tblSettlement[[#This Row],[TransactionID]]&lt;&gt;"", COUNTIF(tblTransactions[TransactionID],tblSettlement[[#This Row],[TransactionID]])=0), " R7 - Orphan Settlement", "")</f>
        <v/>
      </c>
    </row>
    <row r="30" spans="1:6" x14ac:dyDescent="0.3">
      <c r="A30" t="s">
        <v>1507</v>
      </c>
      <c r="B30" t="s">
        <v>113</v>
      </c>
      <c r="C30" s="2">
        <v>46217.882638888892</v>
      </c>
      <c r="D30" s="6">
        <v>5371.97</v>
      </c>
      <c r="E30" t="s">
        <v>1479</v>
      </c>
      <c r="F30" t="str">
        <f>IF(AND(tblSettlement[[#This Row],[TransactionID]]&lt;&gt;"", COUNTIF(tblTransactions[TransactionID],tblSettlement[[#This Row],[TransactionID]])=0), " R7 - Orphan Settlement", "")</f>
        <v/>
      </c>
    </row>
    <row r="31" spans="1:6" x14ac:dyDescent="0.3">
      <c r="A31" t="s">
        <v>1508</v>
      </c>
      <c r="B31" t="s">
        <v>116</v>
      </c>
      <c r="C31" s="2">
        <v>46279.709722222222</v>
      </c>
      <c r="D31" s="6">
        <v>46548.77</v>
      </c>
      <c r="E31" t="s">
        <v>1479</v>
      </c>
      <c r="F31" t="str">
        <f>IF(AND(tblSettlement[[#This Row],[TransactionID]]&lt;&gt;"", COUNTIF(tblTransactions[TransactionID],tblSettlement[[#This Row],[TransactionID]])=0), " R7 - Orphan Settlement", "")</f>
        <v/>
      </c>
    </row>
    <row r="32" spans="1:6" x14ac:dyDescent="0.3">
      <c r="A32" t="s">
        <v>1509</v>
      </c>
      <c r="B32" t="s">
        <v>119</v>
      </c>
      <c r="C32" s="2">
        <v>46230.78125</v>
      </c>
      <c r="D32" s="6">
        <v>23735.24</v>
      </c>
      <c r="E32" t="s">
        <v>1479</v>
      </c>
      <c r="F32" t="str">
        <f>IF(AND(tblSettlement[[#This Row],[TransactionID]]&lt;&gt;"", COUNTIF(tblTransactions[TransactionID],tblSettlement[[#This Row],[TransactionID]])=0), " R7 - Orphan Settlement", "")</f>
        <v/>
      </c>
    </row>
    <row r="33" spans="1:6" x14ac:dyDescent="0.3">
      <c r="A33" t="s">
        <v>1510</v>
      </c>
      <c r="B33" t="s">
        <v>125</v>
      </c>
      <c r="C33" s="2">
        <v>46220.931944444441</v>
      </c>
      <c r="D33" s="6">
        <v>66094.600000000006</v>
      </c>
      <c r="E33" t="s">
        <v>1479</v>
      </c>
      <c r="F33" t="str">
        <f>IF(AND(tblSettlement[[#This Row],[TransactionID]]&lt;&gt;"", COUNTIF(tblTransactions[TransactionID],tblSettlement[[#This Row],[TransactionID]])=0), " R7 - Orphan Settlement", "")</f>
        <v/>
      </c>
    </row>
    <row r="34" spans="1:6" x14ac:dyDescent="0.3">
      <c r="A34" t="s">
        <v>1511</v>
      </c>
      <c r="B34" t="s">
        <v>128</v>
      </c>
      <c r="C34" s="2">
        <v>46295.527083333334</v>
      </c>
      <c r="D34" s="6">
        <v>73793.03</v>
      </c>
      <c r="E34" t="s">
        <v>1479</v>
      </c>
      <c r="F34" t="str">
        <f>IF(AND(tblSettlement[[#This Row],[TransactionID]]&lt;&gt;"", COUNTIF(tblTransactions[TransactionID],tblSettlement[[#This Row],[TransactionID]])=0), " R7 - Orphan Settlement", "")</f>
        <v/>
      </c>
    </row>
    <row r="35" spans="1:6" x14ac:dyDescent="0.3">
      <c r="A35" t="s">
        <v>1512</v>
      </c>
      <c r="B35" t="s">
        <v>131</v>
      </c>
      <c r="C35" s="2">
        <v>46288.413888888892</v>
      </c>
      <c r="D35" s="6">
        <v>10288.26</v>
      </c>
      <c r="E35" t="s">
        <v>1479</v>
      </c>
      <c r="F35" t="str">
        <f>IF(AND(tblSettlement[[#This Row],[TransactionID]]&lt;&gt;"", COUNTIF(tblTransactions[TransactionID],tblSettlement[[#This Row],[TransactionID]])=0), " R7 - Orphan Settlement", "")</f>
        <v/>
      </c>
    </row>
    <row r="36" spans="1:6" x14ac:dyDescent="0.3">
      <c r="A36" t="s">
        <v>1513</v>
      </c>
      <c r="B36" t="s">
        <v>134</v>
      </c>
      <c r="C36" s="2">
        <v>46284.489583333336</v>
      </c>
      <c r="D36" s="6">
        <v>25880.3</v>
      </c>
      <c r="E36" t="s">
        <v>1479</v>
      </c>
      <c r="F36" t="str">
        <f>IF(AND(tblSettlement[[#This Row],[TransactionID]]&lt;&gt;"", COUNTIF(tblTransactions[TransactionID],tblSettlement[[#This Row],[TransactionID]])=0), " R7 - Orphan Settlement", "")</f>
        <v/>
      </c>
    </row>
    <row r="37" spans="1:6" x14ac:dyDescent="0.3">
      <c r="A37" t="s">
        <v>1514</v>
      </c>
      <c r="B37" t="s">
        <v>137</v>
      </c>
      <c r="C37" s="2">
        <v>46216.768750000003</v>
      </c>
      <c r="D37" s="6">
        <v>62243.77</v>
      </c>
      <c r="E37" t="s">
        <v>1479</v>
      </c>
      <c r="F37" t="str">
        <f>IF(AND(tblSettlement[[#This Row],[TransactionID]]&lt;&gt;"", COUNTIF(tblTransactions[TransactionID],tblSettlement[[#This Row],[TransactionID]])=0), " R7 - Orphan Settlement", "")</f>
        <v/>
      </c>
    </row>
    <row r="38" spans="1:6" x14ac:dyDescent="0.3">
      <c r="A38" t="s">
        <v>1515</v>
      </c>
      <c r="B38" t="s">
        <v>142</v>
      </c>
      <c r="C38" s="2">
        <v>46273.370138888888</v>
      </c>
      <c r="D38" s="6">
        <v>27848.89</v>
      </c>
      <c r="E38" t="s">
        <v>1479</v>
      </c>
      <c r="F38" t="str">
        <f>IF(AND(tblSettlement[[#This Row],[TransactionID]]&lt;&gt;"", COUNTIF(tblTransactions[TransactionID],tblSettlement[[#This Row],[TransactionID]])=0), " R7 - Orphan Settlement", "")</f>
        <v/>
      </c>
    </row>
    <row r="39" spans="1:6" x14ac:dyDescent="0.3">
      <c r="A39" t="s">
        <v>1516</v>
      </c>
      <c r="B39" t="s">
        <v>144</v>
      </c>
      <c r="C39" s="2">
        <v>46209.931944444441</v>
      </c>
      <c r="D39" s="6">
        <v>15953.22</v>
      </c>
      <c r="E39" t="s">
        <v>1479</v>
      </c>
      <c r="F39" t="str">
        <f>IF(AND(tblSettlement[[#This Row],[TransactionID]]&lt;&gt;"", COUNTIF(tblTransactions[TransactionID],tblSettlement[[#This Row],[TransactionID]])=0), " R7 - Orphan Settlement", "")</f>
        <v/>
      </c>
    </row>
    <row r="40" spans="1:6" x14ac:dyDescent="0.3">
      <c r="A40" t="s">
        <v>1517</v>
      </c>
      <c r="B40" t="s">
        <v>147</v>
      </c>
      <c r="C40" s="2">
        <v>46285.79791666667</v>
      </c>
      <c r="D40" s="6">
        <v>69450.850000000006</v>
      </c>
      <c r="E40" t="s">
        <v>1479</v>
      </c>
      <c r="F40" t="str">
        <f>IF(AND(tblSettlement[[#This Row],[TransactionID]]&lt;&gt;"", COUNTIF(tblTransactions[TransactionID],tblSettlement[[#This Row],[TransactionID]])=0), " R7 - Orphan Settlement", "")</f>
        <v/>
      </c>
    </row>
    <row r="41" spans="1:6" x14ac:dyDescent="0.3">
      <c r="A41" t="s">
        <v>1518</v>
      </c>
      <c r="B41" t="s">
        <v>153</v>
      </c>
      <c r="C41" s="2">
        <v>46255.876388888886</v>
      </c>
      <c r="D41" s="6">
        <v>64429.85</v>
      </c>
      <c r="E41" t="s">
        <v>1479</v>
      </c>
      <c r="F41" t="str">
        <f>IF(AND(tblSettlement[[#This Row],[TransactionID]]&lt;&gt;"", COUNTIF(tblTransactions[TransactionID],tblSettlement[[#This Row],[TransactionID]])=0), " R7 - Orphan Settlement", "")</f>
        <v/>
      </c>
    </row>
    <row r="42" spans="1:6" x14ac:dyDescent="0.3">
      <c r="A42" t="s">
        <v>1519</v>
      </c>
      <c r="B42" t="s">
        <v>156</v>
      </c>
      <c r="C42" s="2">
        <v>46232.362500000003</v>
      </c>
      <c r="D42" s="6">
        <v>14436.45</v>
      </c>
      <c r="E42" t="s">
        <v>1479</v>
      </c>
      <c r="F42" t="str">
        <f>IF(AND(tblSettlement[[#This Row],[TransactionID]]&lt;&gt;"", COUNTIF(tblTransactions[TransactionID],tblSettlement[[#This Row],[TransactionID]])=0), " R7 - Orphan Settlement", "")</f>
        <v/>
      </c>
    </row>
    <row r="43" spans="1:6" x14ac:dyDescent="0.3">
      <c r="A43" t="s">
        <v>1520</v>
      </c>
      <c r="B43" t="s">
        <v>162</v>
      </c>
      <c r="C43" s="2">
        <v>46208.401388888888</v>
      </c>
      <c r="D43" s="6">
        <v>32733.64</v>
      </c>
      <c r="E43" t="s">
        <v>1479</v>
      </c>
      <c r="F43" t="str">
        <f>IF(AND(tblSettlement[[#This Row],[TransactionID]]&lt;&gt;"", COUNTIF(tblTransactions[TransactionID],tblSettlement[[#This Row],[TransactionID]])=0), " R7 - Orphan Settlement", "")</f>
        <v/>
      </c>
    </row>
    <row r="44" spans="1:6" x14ac:dyDescent="0.3">
      <c r="A44" t="s">
        <v>1521</v>
      </c>
      <c r="B44" t="s">
        <v>165</v>
      </c>
      <c r="C44" s="2">
        <v>46218.622916666667</v>
      </c>
      <c r="D44" s="6">
        <v>43349.96</v>
      </c>
      <c r="E44" t="s">
        <v>1479</v>
      </c>
      <c r="F44" t="str">
        <f>IF(AND(tblSettlement[[#This Row],[TransactionID]]&lt;&gt;"", COUNTIF(tblTransactions[TransactionID],tblSettlement[[#This Row],[TransactionID]])=0), " R7 - Orphan Settlement", "")</f>
        <v/>
      </c>
    </row>
    <row r="45" spans="1:6" x14ac:dyDescent="0.3">
      <c r="A45" t="s">
        <v>1522</v>
      </c>
      <c r="B45" t="s">
        <v>167</v>
      </c>
      <c r="C45" s="2">
        <v>46291.824305555558</v>
      </c>
      <c r="D45" s="6">
        <v>55343.57</v>
      </c>
      <c r="E45" t="s">
        <v>1479</v>
      </c>
      <c r="F45" t="str">
        <f>IF(AND(tblSettlement[[#This Row],[TransactionID]]&lt;&gt;"", COUNTIF(tblTransactions[TransactionID],tblSettlement[[#This Row],[TransactionID]])=0), " R7 - Orphan Settlement", "")</f>
        <v/>
      </c>
    </row>
    <row r="46" spans="1:6" x14ac:dyDescent="0.3">
      <c r="A46" t="s">
        <v>1523</v>
      </c>
      <c r="B46" t="s">
        <v>170</v>
      </c>
      <c r="C46" s="2">
        <v>46286.570833333331</v>
      </c>
      <c r="D46" s="6">
        <v>63639.14</v>
      </c>
      <c r="E46" t="s">
        <v>1479</v>
      </c>
      <c r="F46" t="str">
        <f>IF(AND(tblSettlement[[#This Row],[TransactionID]]&lt;&gt;"", COUNTIF(tblTransactions[TransactionID],tblSettlement[[#This Row],[TransactionID]])=0), " R7 - Orphan Settlement", "")</f>
        <v/>
      </c>
    </row>
    <row r="47" spans="1:6" x14ac:dyDescent="0.3">
      <c r="A47" t="s">
        <v>1524</v>
      </c>
      <c r="B47" t="s">
        <v>173</v>
      </c>
      <c r="C47" s="2">
        <v>46248.613888888889</v>
      </c>
      <c r="D47" s="6">
        <v>22350.23</v>
      </c>
      <c r="E47" t="s">
        <v>1479</v>
      </c>
      <c r="F47" t="str">
        <f>IF(AND(tblSettlement[[#This Row],[TransactionID]]&lt;&gt;"", COUNTIF(tblTransactions[TransactionID],tblSettlement[[#This Row],[TransactionID]])=0), " R7 - Orphan Settlement", "")</f>
        <v/>
      </c>
    </row>
    <row r="48" spans="1:6" x14ac:dyDescent="0.3">
      <c r="A48" t="s">
        <v>1525</v>
      </c>
      <c r="B48" t="s">
        <v>176</v>
      </c>
      <c r="C48" s="2">
        <v>46285.72152777778</v>
      </c>
      <c r="D48" s="6">
        <v>30604.12</v>
      </c>
      <c r="E48" t="s">
        <v>1479</v>
      </c>
      <c r="F48" t="str">
        <f>IF(AND(tblSettlement[[#This Row],[TransactionID]]&lt;&gt;"", COUNTIF(tblTransactions[TransactionID],tblSettlement[[#This Row],[TransactionID]])=0), " R7 - Orphan Settlement", "")</f>
        <v/>
      </c>
    </row>
    <row r="49" spans="1:6" x14ac:dyDescent="0.3">
      <c r="A49" t="s">
        <v>1526</v>
      </c>
      <c r="B49" t="s">
        <v>179</v>
      </c>
      <c r="C49" s="2">
        <v>46265.644444444442</v>
      </c>
      <c r="D49" s="6">
        <v>50753.14</v>
      </c>
      <c r="E49" t="s">
        <v>1479</v>
      </c>
      <c r="F49" t="str">
        <f>IF(AND(tblSettlement[[#This Row],[TransactionID]]&lt;&gt;"", COUNTIF(tblTransactions[TransactionID],tblSettlement[[#This Row],[TransactionID]])=0), " R7 - Orphan Settlement", "")</f>
        <v/>
      </c>
    </row>
    <row r="50" spans="1:6" x14ac:dyDescent="0.3">
      <c r="A50" t="s">
        <v>1527</v>
      </c>
      <c r="B50" t="s">
        <v>182</v>
      </c>
      <c r="C50" s="2">
        <v>46271.777777777781</v>
      </c>
      <c r="D50" s="6">
        <v>46539.75</v>
      </c>
      <c r="E50" t="s">
        <v>1479</v>
      </c>
      <c r="F50" t="str">
        <f>IF(AND(tblSettlement[[#This Row],[TransactionID]]&lt;&gt;"", COUNTIF(tblTransactions[TransactionID],tblSettlement[[#This Row],[TransactionID]])=0), " R7 - Orphan Settlement", "")</f>
        <v/>
      </c>
    </row>
    <row r="51" spans="1:6" x14ac:dyDescent="0.3">
      <c r="A51" t="s">
        <v>1528</v>
      </c>
      <c r="B51" t="s">
        <v>185</v>
      </c>
      <c r="C51" s="2">
        <v>46222.334722222222</v>
      </c>
      <c r="D51" s="6">
        <v>18451.98</v>
      </c>
      <c r="E51" t="s">
        <v>1479</v>
      </c>
      <c r="F51" t="str">
        <f>IF(AND(tblSettlement[[#This Row],[TransactionID]]&lt;&gt;"", COUNTIF(tblTransactions[TransactionID],tblSettlement[[#This Row],[TransactionID]])=0), " R7 - Orphan Settlement", "")</f>
        <v/>
      </c>
    </row>
    <row r="52" spans="1:6" x14ac:dyDescent="0.3">
      <c r="A52" t="s">
        <v>1529</v>
      </c>
      <c r="B52" t="s">
        <v>188</v>
      </c>
      <c r="C52" s="2">
        <v>46298.808333333334</v>
      </c>
      <c r="D52" s="6">
        <v>37204.69</v>
      </c>
      <c r="E52" t="s">
        <v>1479</v>
      </c>
      <c r="F52" t="str">
        <f>IF(AND(tblSettlement[[#This Row],[TransactionID]]&lt;&gt;"", COUNTIF(tblTransactions[TransactionID],tblSettlement[[#This Row],[TransactionID]])=0), " R7 - Orphan Settlement", "")</f>
        <v/>
      </c>
    </row>
    <row r="53" spans="1:6" x14ac:dyDescent="0.3">
      <c r="A53" t="s">
        <v>1530</v>
      </c>
      <c r="B53" t="s">
        <v>191</v>
      </c>
      <c r="C53" s="2">
        <v>46260.46597222222</v>
      </c>
      <c r="D53" s="6">
        <v>60357.21</v>
      </c>
      <c r="E53" t="s">
        <v>1479</v>
      </c>
      <c r="F53" t="str">
        <f>IF(AND(tblSettlement[[#This Row],[TransactionID]]&lt;&gt;"", COUNTIF(tblTransactions[TransactionID],tblSettlement[[#This Row],[TransactionID]])=0), " R7 - Orphan Settlement", "")</f>
        <v/>
      </c>
    </row>
    <row r="54" spans="1:6" x14ac:dyDescent="0.3">
      <c r="A54" t="s">
        <v>1531</v>
      </c>
      <c r="B54" t="s">
        <v>194</v>
      </c>
      <c r="C54" s="2">
        <v>46264.45208333333</v>
      </c>
      <c r="D54" s="6">
        <v>34982.080000000002</v>
      </c>
      <c r="E54" t="s">
        <v>1479</v>
      </c>
      <c r="F54" t="str">
        <f>IF(AND(tblSettlement[[#This Row],[TransactionID]]&lt;&gt;"", COUNTIF(tblTransactions[TransactionID],tblSettlement[[#This Row],[TransactionID]])=0), " R7 - Orphan Settlement", "")</f>
        <v/>
      </c>
    </row>
    <row r="55" spans="1:6" x14ac:dyDescent="0.3">
      <c r="A55" t="s">
        <v>1532</v>
      </c>
      <c r="B55" t="s">
        <v>197</v>
      </c>
      <c r="C55" s="2">
        <v>46283.906944444447</v>
      </c>
      <c r="D55" s="6">
        <v>66928.52</v>
      </c>
      <c r="E55" t="s">
        <v>1479</v>
      </c>
      <c r="F55" t="str">
        <f>IF(AND(tblSettlement[[#This Row],[TransactionID]]&lt;&gt;"", COUNTIF(tblTransactions[TransactionID],tblSettlement[[#This Row],[TransactionID]])=0), " R7 - Orphan Settlement", "")</f>
        <v/>
      </c>
    </row>
    <row r="56" spans="1:6" x14ac:dyDescent="0.3">
      <c r="A56" t="s">
        <v>1533</v>
      </c>
      <c r="B56" t="s">
        <v>200</v>
      </c>
      <c r="C56" s="2">
        <v>46263.533333333333</v>
      </c>
      <c r="D56" s="6">
        <v>18731.169999999998</v>
      </c>
      <c r="E56" t="s">
        <v>1479</v>
      </c>
      <c r="F56" t="str">
        <f>IF(AND(tblSettlement[[#This Row],[TransactionID]]&lt;&gt;"", COUNTIF(tblTransactions[TransactionID],tblSettlement[[#This Row],[TransactionID]])=0), " R7 - Orphan Settlement", "")</f>
        <v/>
      </c>
    </row>
    <row r="57" spans="1:6" x14ac:dyDescent="0.3">
      <c r="A57" t="s">
        <v>1534</v>
      </c>
      <c r="B57" t="s">
        <v>203</v>
      </c>
      <c r="C57" s="2">
        <v>46260.40625</v>
      </c>
      <c r="D57" s="6">
        <v>21608.18</v>
      </c>
      <c r="E57" t="s">
        <v>1479</v>
      </c>
      <c r="F57" t="str">
        <f>IF(AND(tblSettlement[[#This Row],[TransactionID]]&lt;&gt;"", COUNTIF(tblTransactions[TransactionID],tblSettlement[[#This Row],[TransactionID]])=0), " R7 - Orphan Settlement", "")</f>
        <v/>
      </c>
    </row>
    <row r="58" spans="1:6" x14ac:dyDescent="0.3">
      <c r="A58" t="s">
        <v>1535</v>
      </c>
      <c r="B58" t="s">
        <v>206</v>
      </c>
      <c r="C58" s="2">
        <v>46236.613888888889</v>
      </c>
      <c r="D58" s="6">
        <v>11672.19</v>
      </c>
      <c r="E58" t="s">
        <v>1479</v>
      </c>
      <c r="F58" t="str">
        <f>IF(AND(tblSettlement[[#This Row],[TransactionID]]&lt;&gt;"", COUNTIF(tblTransactions[TransactionID],tblSettlement[[#This Row],[TransactionID]])=0), " R7 - Orphan Settlement", "")</f>
        <v/>
      </c>
    </row>
    <row r="59" spans="1:6" x14ac:dyDescent="0.3">
      <c r="A59" t="s">
        <v>1536</v>
      </c>
      <c r="B59" t="s">
        <v>209</v>
      </c>
      <c r="C59" s="2">
        <v>46257.342361111114</v>
      </c>
      <c r="D59" s="6">
        <v>62508.61</v>
      </c>
      <c r="E59" t="s">
        <v>1479</v>
      </c>
      <c r="F59" t="str">
        <f>IF(AND(tblSettlement[[#This Row],[TransactionID]]&lt;&gt;"", COUNTIF(tblTransactions[TransactionID],tblSettlement[[#This Row],[TransactionID]])=0), " R7 - Orphan Settlement", "")</f>
        <v/>
      </c>
    </row>
    <row r="60" spans="1:6" x14ac:dyDescent="0.3">
      <c r="A60" t="s">
        <v>1537</v>
      </c>
      <c r="B60" t="s">
        <v>212</v>
      </c>
      <c r="C60" s="2">
        <v>46268.348611111112</v>
      </c>
      <c r="D60" s="6">
        <v>22571.3</v>
      </c>
      <c r="E60" t="s">
        <v>1479</v>
      </c>
      <c r="F60" t="str">
        <f>IF(AND(tblSettlement[[#This Row],[TransactionID]]&lt;&gt;"", COUNTIF(tblTransactions[TransactionID],tblSettlement[[#This Row],[TransactionID]])=0), " R7 - Orphan Settlement", "")</f>
        <v/>
      </c>
    </row>
    <row r="61" spans="1:6" x14ac:dyDescent="0.3">
      <c r="A61" t="s">
        <v>1538</v>
      </c>
      <c r="B61" t="s">
        <v>215</v>
      </c>
      <c r="C61" s="2">
        <v>46282.926388888889</v>
      </c>
      <c r="D61" s="6">
        <v>36745.15</v>
      </c>
      <c r="E61" t="s">
        <v>1479</v>
      </c>
      <c r="F61" t="str">
        <f>IF(AND(tblSettlement[[#This Row],[TransactionID]]&lt;&gt;"", COUNTIF(tblTransactions[TransactionID],tblSettlement[[#This Row],[TransactionID]])=0), " R7 - Orphan Settlement", "")</f>
        <v/>
      </c>
    </row>
    <row r="62" spans="1:6" x14ac:dyDescent="0.3">
      <c r="A62" t="s">
        <v>1539</v>
      </c>
      <c r="B62" t="s">
        <v>221</v>
      </c>
      <c r="C62" s="2">
        <v>46215.768750000003</v>
      </c>
      <c r="D62" s="6">
        <v>10393.540000000001</v>
      </c>
      <c r="E62" t="s">
        <v>1479</v>
      </c>
      <c r="F62" t="str">
        <f>IF(AND(tblSettlement[[#This Row],[TransactionID]]&lt;&gt;"", COUNTIF(tblTransactions[TransactionID],tblSettlement[[#This Row],[TransactionID]])=0), " R7 - Orphan Settlement", "")</f>
        <v/>
      </c>
    </row>
    <row r="63" spans="1:6" x14ac:dyDescent="0.3">
      <c r="A63" t="s">
        <v>1540</v>
      </c>
      <c r="B63" t="s">
        <v>224</v>
      </c>
      <c r="C63" s="2">
        <v>46264.556250000001</v>
      </c>
      <c r="D63" s="6">
        <v>57151.92</v>
      </c>
      <c r="E63" t="s">
        <v>1479</v>
      </c>
      <c r="F63" t="str">
        <f>IF(AND(tblSettlement[[#This Row],[TransactionID]]&lt;&gt;"", COUNTIF(tblTransactions[TransactionID],tblSettlement[[#This Row],[TransactionID]])=0), " R7 - Orphan Settlement", "")</f>
        <v/>
      </c>
    </row>
    <row r="64" spans="1:6" x14ac:dyDescent="0.3">
      <c r="A64" t="s">
        <v>1541</v>
      </c>
      <c r="B64" t="s">
        <v>230</v>
      </c>
      <c r="C64" s="2">
        <v>46209.466666666667</v>
      </c>
      <c r="D64" s="6">
        <v>62982.36</v>
      </c>
      <c r="E64" t="s">
        <v>1479</v>
      </c>
      <c r="F64" t="str">
        <f>IF(AND(tblSettlement[[#This Row],[TransactionID]]&lt;&gt;"", COUNTIF(tblTransactions[TransactionID],tblSettlement[[#This Row],[TransactionID]])=0), " R7 - Orphan Settlement", "")</f>
        <v/>
      </c>
    </row>
    <row r="65" spans="1:6" x14ac:dyDescent="0.3">
      <c r="A65" t="s">
        <v>1542</v>
      </c>
      <c r="B65" t="s">
        <v>233</v>
      </c>
      <c r="C65" s="2">
        <v>46277.478472222225</v>
      </c>
      <c r="D65" s="6">
        <v>52535.01</v>
      </c>
      <c r="E65" t="s">
        <v>1479</v>
      </c>
      <c r="F65" t="str">
        <f>IF(AND(tblSettlement[[#This Row],[TransactionID]]&lt;&gt;"", COUNTIF(tblTransactions[TransactionID],tblSettlement[[#This Row],[TransactionID]])=0), " R7 - Orphan Settlement", "")</f>
        <v/>
      </c>
    </row>
    <row r="66" spans="1:6" x14ac:dyDescent="0.3">
      <c r="A66" t="s">
        <v>1543</v>
      </c>
      <c r="B66" t="s">
        <v>242</v>
      </c>
      <c r="C66" s="2">
        <v>46279.834722222222</v>
      </c>
      <c r="D66" s="6">
        <v>26203.48</v>
      </c>
      <c r="E66" t="s">
        <v>1479</v>
      </c>
      <c r="F66" t="str">
        <f>IF(AND(tblSettlement[[#This Row],[TransactionID]]&lt;&gt;"", COUNTIF(tblTransactions[TransactionID],tblSettlement[[#This Row],[TransactionID]])=0), " R7 - Orphan Settlement", "")</f>
        <v/>
      </c>
    </row>
    <row r="67" spans="1:6" x14ac:dyDescent="0.3">
      <c r="A67" t="s">
        <v>1544</v>
      </c>
      <c r="B67" t="s">
        <v>245</v>
      </c>
      <c r="C67" s="2">
        <v>46207.893055555556</v>
      </c>
      <c r="D67" s="6">
        <v>61719.24</v>
      </c>
      <c r="E67" t="s">
        <v>1479</v>
      </c>
      <c r="F67" t="str">
        <f>IF(AND(tblSettlement[[#This Row],[TransactionID]]&lt;&gt;"", COUNTIF(tblTransactions[TransactionID],tblSettlement[[#This Row],[TransactionID]])=0), " R7 - Orphan Settlement", "")</f>
        <v/>
      </c>
    </row>
    <row r="68" spans="1:6" x14ac:dyDescent="0.3">
      <c r="A68" t="s">
        <v>1545</v>
      </c>
      <c r="B68" t="s">
        <v>248</v>
      </c>
      <c r="C68" s="2">
        <v>46228.814583333333</v>
      </c>
      <c r="D68" s="6">
        <v>72419.16</v>
      </c>
      <c r="E68" t="s">
        <v>1479</v>
      </c>
      <c r="F68" t="str">
        <f>IF(AND(tblSettlement[[#This Row],[TransactionID]]&lt;&gt;"", COUNTIF(tblTransactions[TransactionID],tblSettlement[[#This Row],[TransactionID]])=0), " R7 - Orphan Settlement", "")</f>
        <v/>
      </c>
    </row>
    <row r="69" spans="1:6" x14ac:dyDescent="0.3">
      <c r="A69" t="s">
        <v>1546</v>
      </c>
      <c r="B69" t="s">
        <v>251</v>
      </c>
      <c r="C69" s="2">
        <v>46245.885416666664</v>
      </c>
      <c r="D69" s="6">
        <v>62347.14</v>
      </c>
      <c r="E69" t="s">
        <v>1479</v>
      </c>
      <c r="F69" t="str">
        <f>IF(AND(tblSettlement[[#This Row],[TransactionID]]&lt;&gt;"", COUNTIF(tblTransactions[TransactionID],tblSettlement[[#This Row],[TransactionID]])=0), " R7 - Orphan Settlement", "")</f>
        <v/>
      </c>
    </row>
    <row r="70" spans="1:6" x14ac:dyDescent="0.3">
      <c r="A70" t="s">
        <v>1547</v>
      </c>
      <c r="B70" t="s">
        <v>254</v>
      </c>
      <c r="C70" s="2">
        <v>46249.354861111111</v>
      </c>
      <c r="D70" s="6">
        <v>63858.720000000001</v>
      </c>
      <c r="E70" t="s">
        <v>1479</v>
      </c>
      <c r="F70" t="str">
        <f>IF(AND(tblSettlement[[#This Row],[TransactionID]]&lt;&gt;"", COUNTIF(tblTransactions[TransactionID],tblSettlement[[#This Row],[TransactionID]])=0), " R7 - Orphan Settlement", "")</f>
        <v/>
      </c>
    </row>
    <row r="71" spans="1:6" x14ac:dyDescent="0.3">
      <c r="A71" t="s">
        <v>1548</v>
      </c>
      <c r="B71" t="s">
        <v>257</v>
      </c>
      <c r="C71" s="2">
        <v>46240.943055555559</v>
      </c>
      <c r="D71" s="6">
        <v>52663.49</v>
      </c>
      <c r="E71" t="s">
        <v>1479</v>
      </c>
      <c r="F71" t="str">
        <f>IF(AND(tblSettlement[[#This Row],[TransactionID]]&lt;&gt;"", COUNTIF(tblTransactions[TransactionID],tblSettlement[[#This Row],[TransactionID]])=0), " R7 - Orphan Settlement", "")</f>
        <v/>
      </c>
    </row>
    <row r="72" spans="1:6" x14ac:dyDescent="0.3">
      <c r="A72" t="s">
        <v>1549</v>
      </c>
      <c r="B72" t="s">
        <v>260</v>
      </c>
      <c r="C72" s="2">
        <v>46234.80972222222</v>
      </c>
      <c r="D72" s="6">
        <v>36771.19</v>
      </c>
      <c r="E72" t="s">
        <v>1479</v>
      </c>
      <c r="F72" t="str">
        <f>IF(AND(tblSettlement[[#This Row],[TransactionID]]&lt;&gt;"", COUNTIF(tblTransactions[TransactionID],tblSettlement[[#This Row],[TransactionID]])=0), " R7 - Orphan Settlement", "")</f>
        <v/>
      </c>
    </row>
    <row r="73" spans="1:6" x14ac:dyDescent="0.3">
      <c r="A73" t="s">
        <v>1550</v>
      </c>
      <c r="B73" t="s">
        <v>263</v>
      </c>
      <c r="C73" s="2">
        <v>46261.834027777775</v>
      </c>
      <c r="D73" s="6">
        <v>7205.74</v>
      </c>
      <c r="E73" t="s">
        <v>1479</v>
      </c>
      <c r="F73" t="str">
        <f>IF(AND(tblSettlement[[#This Row],[TransactionID]]&lt;&gt;"", COUNTIF(tblTransactions[TransactionID],tblSettlement[[#This Row],[TransactionID]])=0), " R7 - Orphan Settlement", "")</f>
        <v/>
      </c>
    </row>
    <row r="74" spans="1:6" x14ac:dyDescent="0.3">
      <c r="A74" t="s">
        <v>1551</v>
      </c>
      <c r="B74" t="s">
        <v>269</v>
      </c>
      <c r="C74" s="2">
        <v>46239.511111111111</v>
      </c>
      <c r="D74" s="6">
        <v>17482.72</v>
      </c>
      <c r="E74" t="s">
        <v>1479</v>
      </c>
      <c r="F74" t="str">
        <f>IF(AND(tblSettlement[[#This Row],[TransactionID]]&lt;&gt;"", COUNTIF(tblTransactions[TransactionID],tblSettlement[[#This Row],[TransactionID]])=0), " R7 - Orphan Settlement", "")</f>
        <v/>
      </c>
    </row>
    <row r="75" spans="1:6" x14ac:dyDescent="0.3">
      <c r="A75" t="s">
        <v>1552</v>
      </c>
      <c r="B75" t="s">
        <v>272</v>
      </c>
      <c r="C75" s="2">
        <v>46231.490972222222</v>
      </c>
      <c r="D75" s="6">
        <v>36443.839999999997</v>
      </c>
      <c r="E75" t="s">
        <v>1479</v>
      </c>
      <c r="F75" t="str">
        <f>IF(AND(tblSettlement[[#This Row],[TransactionID]]&lt;&gt;"", COUNTIF(tblTransactions[TransactionID],tblSettlement[[#This Row],[TransactionID]])=0), " R7 - Orphan Settlement", "")</f>
        <v/>
      </c>
    </row>
    <row r="76" spans="1:6" x14ac:dyDescent="0.3">
      <c r="A76" t="s">
        <v>1553</v>
      </c>
      <c r="B76" t="s">
        <v>275</v>
      </c>
      <c r="C76" s="2">
        <v>46231.509722222225</v>
      </c>
      <c r="D76" s="6">
        <v>27225.86</v>
      </c>
      <c r="E76" t="s">
        <v>1479</v>
      </c>
      <c r="F76" t="str">
        <f>IF(AND(tblSettlement[[#This Row],[TransactionID]]&lt;&gt;"", COUNTIF(tblTransactions[TransactionID],tblSettlement[[#This Row],[TransactionID]])=0), " R7 - Orphan Settlement", "")</f>
        <v/>
      </c>
    </row>
    <row r="77" spans="1:6" x14ac:dyDescent="0.3">
      <c r="A77" t="s">
        <v>1554</v>
      </c>
      <c r="B77" t="s">
        <v>278</v>
      </c>
      <c r="C77" s="2">
        <v>46212.679166666669</v>
      </c>
      <c r="D77" s="6">
        <v>52381.95</v>
      </c>
      <c r="E77" t="s">
        <v>1479</v>
      </c>
      <c r="F77" t="str">
        <f>IF(AND(tblSettlement[[#This Row],[TransactionID]]&lt;&gt;"", COUNTIF(tblTransactions[TransactionID],tblSettlement[[#This Row],[TransactionID]])=0), " R7 - Orphan Settlement", "")</f>
        <v/>
      </c>
    </row>
    <row r="78" spans="1:6" x14ac:dyDescent="0.3">
      <c r="A78" t="s">
        <v>1555</v>
      </c>
      <c r="B78" t="s">
        <v>284</v>
      </c>
      <c r="C78" s="2">
        <v>46255.62777777778</v>
      </c>
      <c r="D78" s="6">
        <v>43382.33</v>
      </c>
      <c r="E78" t="s">
        <v>1479</v>
      </c>
      <c r="F78" t="str">
        <f>IF(AND(tblSettlement[[#This Row],[TransactionID]]&lt;&gt;"", COUNTIF(tblTransactions[TransactionID],tblSettlement[[#This Row],[TransactionID]])=0), " R7 - Orphan Settlement", "")</f>
        <v/>
      </c>
    </row>
    <row r="79" spans="1:6" x14ac:dyDescent="0.3">
      <c r="A79" t="s">
        <v>1556</v>
      </c>
      <c r="B79" t="s">
        <v>287</v>
      </c>
      <c r="C79" s="2">
        <v>46215.463194444441</v>
      </c>
      <c r="D79" s="6">
        <v>41965.96</v>
      </c>
      <c r="E79" t="s">
        <v>1479</v>
      </c>
      <c r="F79" t="str">
        <f>IF(AND(tblSettlement[[#This Row],[TransactionID]]&lt;&gt;"", COUNTIF(tblTransactions[TransactionID],tblSettlement[[#This Row],[TransactionID]])=0), " R7 - Orphan Settlement", "")</f>
        <v/>
      </c>
    </row>
    <row r="80" spans="1:6" x14ac:dyDescent="0.3">
      <c r="A80" t="s">
        <v>1557</v>
      </c>
      <c r="B80" t="s">
        <v>290</v>
      </c>
      <c r="C80" s="2">
        <v>46253.665277777778</v>
      </c>
      <c r="D80" s="6">
        <v>33343.4</v>
      </c>
      <c r="E80" t="s">
        <v>1479</v>
      </c>
      <c r="F80" t="str">
        <f>IF(AND(tblSettlement[[#This Row],[TransactionID]]&lt;&gt;"", COUNTIF(tblTransactions[TransactionID],tblSettlement[[#This Row],[TransactionID]])=0), " R7 - Orphan Settlement", "")</f>
        <v/>
      </c>
    </row>
    <row r="81" spans="1:6" x14ac:dyDescent="0.3">
      <c r="A81" t="s">
        <v>1558</v>
      </c>
      <c r="B81" t="s">
        <v>293</v>
      </c>
      <c r="C81" s="2">
        <v>46283.79583333333</v>
      </c>
      <c r="D81" s="6">
        <v>71082.37</v>
      </c>
      <c r="E81" t="s">
        <v>1479</v>
      </c>
      <c r="F81" t="str">
        <f>IF(AND(tblSettlement[[#This Row],[TransactionID]]&lt;&gt;"", COUNTIF(tblTransactions[TransactionID],tblSettlement[[#This Row],[TransactionID]])=0), " R7 - Orphan Settlement", "")</f>
        <v/>
      </c>
    </row>
    <row r="82" spans="1:6" x14ac:dyDescent="0.3">
      <c r="A82" t="s">
        <v>1559</v>
      </c>
      <c r="B82" t="s">
        <v>296</v>
      </c>
      <c r="C82" s="2">
        <v>46235.440972222219</v>
      </c>
      <c r="D82" s="6">
        <v>5861.1</v>
      </c>
      <c r="E82" t="s">
        <v>1479</v>
      </c>
      <c r="F82" t="str">
        <f>IF(AND(tblSettlement[[#This Row],[TransactionID]]&lt;&gt;"", COUNTIF(tblTransactions[TransactionID],tblSettlement[[#This Row],[TransactionID]])=0), " R7 - Orphan Settlement", "")</f>
        <v/>
      </c>
    </row>
    <row r="83" spans="1:6" x14ac:dyDescent="0.3">
      <c r="A83" t="s">
        <v>1560</v>
      </c>
      <c r="B83" t="s">
        <v>299</v>
      </c>
      <c r="C83" s="2">
        <v>46235.53125</v>
      </c>
      <c r="D83" s="6">
        <v>21383.200000000001</v>
      </c>
      <c r="E83" t="s">
        <v>1479</v>
      </c>
      <c r="F83" t="str">
        <f>IF(AND(tblSettlement[[#This Row],[TransactionID]]&lt;&gt;"", COUNTIF(tblTransactions[TransactionID],tblSettlement[[#This Row],[TransactionID]])=0), " R7 - Orphan Settlement", "")</f>
        <v/>
      </c>
    </row>
    <row r="84" spans="1:6" x14ac:dyDescent="0.3">
      <c r="A84" t="s">
        <v>1561</v>
      </c>
      <c r="B84" t="s">
        <v>302</v>
      </c>
      <c r="C84" s="2">
        <v>46259.398611111108</v>
      </c>
      <c r="D84" s="6">
        <v>17054.509999999998</v>
      </c>
      <c r="E84" t="s">
        <v>1479</v>
      </c>
      <c r="F84" t="str">
        <f>IF(AND(tblSettlement[[#This Row],[TransactionID]]&lt;&gt;"", COUNTIF(tblTransactions[TransactionID],tblSettlement[[#This Row],[TransactionID]])=0), " R7 - Orphan Settlement", "")</f>
        <v/>
      </c>
    </row>
    <row r="85" spans="1:6" x14ac:dyDescent="0.3">
      <c r="A85" t="s">
        <v>1562</v>
      </c>
      <c r="B85" t="s">
        <v>307</v>
      </c>
      <c r="C85" s="2">
        <v>46293.595138888886</v>
      </c>
      <c r="D85" s="6">
        <v>37660.300000000003</v>
      </c>
      <c r="E85" t="s">
        <v>1479</v>
      </c>
      <c r="F85" t="str">
        <f>IF(AND(tblSettlement[[#This Row],[TransactionID]]&lt;&gt;"", COUNTIF(tblTransactions[TransactionID],tblSettlement[[#This Row],[TransactionID]])=0), " R7 - Orphan Settlement", "")</f>
        <v/>
      </c>
    </row>
    <row r="86" spans="1:6" x14ac:dyDescent="0.3">
      <c r="A86" t="s">
        <v>1563</v>
      </c>
      <c r="B86" t="s">
        <v>309</v>
      </c>
      <c r="C86" s="2">
        <v>46247.719444444447</v>
      </c>
      <c r="D86" s="6">
        <v>2183.4</v>
      </c>
      <c r="E86" t="s">
        <v>1479</v>
      </c>
      <c r="F86" t="str">
        <f>IF(AND(tblSettlement[[#This Row],[TransactionID]]&lt;&gt;"", COUNTIF(tblTransactions[TransactionID],tblSettlement[[#This Row],[TransactionID]])=0), " R7 - Orphan Settlement", "")</f>
        <v/>
      </c>
    </row>
    <row r="87" spans="1:6" x14ac:dyDescent="0.3">
      <c r="A87" t="s">
        <v>1564</v>
      </c>
      <c r="B87" t="s">
        <v>312</v>
      </c>
      <c r="C87" s="2">
        <v>46290.886805555558</v>
      </c>
      <c r="D87" s="6">
        <v>43324.46</v>
      </c>
      <c r="E87" t="s">
        <v>1479</v>
      </c>
      <c r="F87" t="str">
        <f>IF(AND(tblSettlement[[#This Row],[TransactionID]]&lt;&gt;"", COUNTIF(tblTransactions[TransactionID],tblSettlement[[#This Row],[TransactionID]])=0), " R7 - Orphan Settlement", "")</f>
        <v/>
      </c>
    </row>
    <row r="88" spans="1:6" x14ac:dyDescent="0.3">
      <c r="A88" t="s">
        <v>1565</v>
      </c>
      <c r="B88" t="s">
        <v>315</v>
      </c>
      <c r="C88" s="2">
        <v>46239.442361111112</v>
      </c>
      <c r="D88" s="6">
        <v>32832.400000000001</v>
      </c>
      <c r="E88" t="s">
        <v>1479</v>
      </c>
      <c r="F88" t="str">
        <f>IF(AND(tblSettlement[[#This Row],[TransactionID]]&lt;&gt;"", COUNTIF(tblTransactions[TransactionID],tblSettlement[[#This Row],[TransactionID]])=0), " R7 - Orphan Settlement", "")</f>
        <v/>
      </c>
    </row>
    <row r="89" spans="1:6" x14ac:dyDescent="0.3">
      <c r="A89" t="s">
        <v>1566</v>
      </c>
      <c r="B89" t="s">
        <v>318</v>
      </c>
      <c r="C89" s="2">
        <v>46247.754166666666</v>
      </c>
      <c r="D89" s="6">
        <v>64365.55</v>
      </c>
      <c r="E89" t="s">
        <v>1479</v>
      </c>
      <c r="F89" t="str">
        <f>IF(AND(tblSettlement[[#This Row],[TransactionID]]&lt;&gt;"", COUNTIF(tblTransactions[TransactionID],tblSettlement[[#This Row],[TransactionID]])=0), " R7 - Orphan Settlement", "")</f>
        <v/>
      </c>
    </row>
    <row r="90" spans="1:6" x14ac:dyDescent="0.3">
      <c r="A90" t="s">
        <v>1567</v>
      </c>
      <c r="B90" t="s">
        <v>321</v>
      </c>
      <c r="C90" s="2">
        <v>46275.353472222225</v>
      </c>
      <c r="D90" s="6">
        <v>6832.47</v>
      </c>
      <c r="E90" t="s">
        <v>1479</v>
      </c>
      <c r="F90" t="str">
        <f>IF(AND(tblSettlement[[#This Row],[TransactionID]]&lt;&gt;"", COUNTIF(tblTransactions[TransactionID],tblSettlement[[#This Row],[TransactionID]])=0), " R7 - Orphan Settlement", "")</f>
        <v/>
      </c>
    </row>
    <row r="91" spans="1:6" x14ac:dyDescent="0.3">
      <c r="A91" t="s">
        <v>1568</v>
      </c>
      <c r="B91" t="s">
        <v>324</v>
      </c>
      <c r="C91" s="2">
        <v>46288.898611111108</v>
      </c>
      <c r="D91" s="6">
        <v>34782.730000000003</v>
      </c>
      <c r="E91" t="s">
        <v>1479</v>
      </c>
      <c r="F91" t="str">
        <f>IF(AND(tblSettlement[[#This Row],[TransactionID]]&lt;&gt;"", COUNTIF(tblTransactions[TransactionID],tblSettlement[[#This Row],[TransactionID]])=0), " R7 - Orphan Settlement", "")</f>
        <v/>
      </c>
    </row>
    <row r="92" spans="1:6" x14ac:dyDescent="0.3">
      <c r="A92" t="s">
        <v>1569</v>
      </c>
      <c r="B92" t="s">
        <v>327</v>
      </c>
      <c r="C92" s="2">
        <v>46285.658333333333</v>
      </c>
      <c r="D92" s="6">
        <v>4107.9799999999996</v>
      </c>
      <c r="E92" t="s">
        <v>1479</v>
      </c>
      <c r="F92" t="str">
        <f>IF(AND(tblSettlement[[#This Row],[TransactionID]]&lt;&gt;"", COUNTIF(tblTransactions[TransactionID],tblSettlement[[#This Row],[TransactionID]])=0), " R7 - Orphan Settlement", "")</f>
        <v/>
      </c>
    </row>
    <row r="93" spans="1:6" x14ac:dyDescent="0.3">
      <c r="A93" t="s">
        <v>1570</v>
      </c>
      <c r="B93" t="s">
        <v>330</v>
      </c>
      <c r="C93" s="2">
        <v>46221.361111111109</v>
      </c>
      <c r="D93" s="6">
        <v>45763.16</v>
      </c>
      <c r="E93" t="s">
        <v>1479</v>
      </c>
      <c r="F93" t="str">
        <f>IF(AND(tblSettlement[[#This Row],[TransactionID]]&lt;&gt;"", COUNTIF(tblTransactions[TransactionID],tblSettlement[[#This Row],[TransactionID]])=0), " R7 - Orphan Settlement", "")</f>
        <v/>
      </c>
    </row>
    <row r="94" spans="1:6" x14ac:dyDescent="0.3">
      <c r="A94" t="s">
        <v>1571</v>
      </c>
      <c r="B94" t="s">
        <v>333</v>
      </c>
      <c r="C94" s="2">
        <v>46215.495138888888</v>
      </c>
      <c r="D94" s="6">
        <v>68491.509999999995</v>
      </c>
      <c r="E94" t="s">
        <v>1479</v>
      </c>
      <c r="F94" t="str">
        <f>IF(AND(tblSettlement[[#This Row],[TransactionID]]&lt;&gt;"", COUNTIF(tblTransactions[TransactionID],tblSettlement[[#This Row],[TransactionID]])=0), " R7 - Orphan Settlement", "")</f>
        <v/>
      </c>
    </row>
    <row r="95" spans="1:6" x14ac:dyDescent="0.3">
      <c r="A95" t="s">
        <v>1572</v>
      </c>
      <c r="B95" t="s">
        <v>336</v>
      </c>
      <c r="C95" s="2">
        <v>46270.803472222222</v>
      </c>
      <c r="D95" s="6">
        <v>31307.9</v>
      </c>
      <c r="E95" t="s">
        <v>1479</v>
      </c>
      <c r="F95" t="str">
        <f>IF(AND(tblSettlement[[#This Row],[TransactionID]]&lt;&gt;"", COUNTIF(tblTransactions[TransactionID],tblSettlement[[#This Row],[TransactionID]])=0), " R7 - Orphan Settlement", "")</f>
        <v/>
      </c>
    </row>
    <row r="96" spans="1:6" x14ac:dyDescent="0.3">
      <c r="A96" t="s">
        <v>1573</v>
      </c>
      <c r="B96" t="s">
        <v>339</v>
      </c>
      <c r="C96" s="2">
        <v>46255.498611111114</v>
      </c>
      <c r="D96" s="6">
        <v>45053.48</v>
      </c>
      <c r="E96" t="s">
        <v>1479</v>
      </c>
      <c r="F96" t="str">
        <f>IF(AND(tblSettlement[[#This Row],[TransactionID]]&lt;&gt;"", COUNTIF(tblTransactions[TransactionID],tblSettlement[[#This Row],[TransactionID]])=0), " R7 - Orphan Settlement", "")</f>
        <v/>
      </c>
    </row>
    <row r="97" spans="1:6" x14ac:dyDescent="0.3">
      <c r="A97" t="s">
        <v>1574</v>
      </c>
      <c r="B97" t="s">
        <v>342</v>
      </c>
      <c r="C97" s="2">
        <v>46249.951388888891</v>
      </c>
      <c r="D97" s="6">
        <v>38203.39</v>
      </c>
      <c r="E97" t="s">
        <v>1479</v>
      </c>
      <c r="F97" t="str">
        <f>IF(AND(tblSettlement[[#This Row],[TransactionID]]&lt;&gt;"", COUNTIF(tblTransactions[TransactionID],tblSettlement[[#This Row],[TransactionID]])=0), " R7 - Orphan Settlement", "")</f>
        <v/>
      </c>
    </row>
    <row r="98" spans="1:6" x14ac:dyDescent="0.3">
      <c r="A98" t="s">
        <v>1575</v>
      </c>
      <c r="B98" t="s">
        <v>345</v>
      </c>
      <c r="C98" s="2">
        <v>46224.648611111108</v>
      </c>
      <c r="D98" s="6">
        <v>36454.519999999997</v>
      </c>
      <c r="E98" t="s">
        <v>1479</v>
      </c>
      <c r="F98" t="str">
        <f>IF(AND(tblSettlement[[#This Row],[TransactionID]]&lt;&gt;"", COUNTIF(tblTransactions[TransactionID],tblSettlement[[#This Row],[TransactionID]])=0), " R7 - Orphan Settlement", "")</f>
        <v/>
      </c>
    </row>
    <row r="99" spans="1:6" x14ac:dyDescent="0.3">
      <c r="A99" t="s">
        <v>1576</v>
      </c>
      <c r="B99" t="s">
        <v>348</v>
      </c>
      <c r="C99" s="2">
        <v>46228.802083333336</v>
      </c>
      <c r="D99" s="6">
        <v>42991.87</v>
      </c>
      <c r="E99" t="s">
        <v>1479</v>
      </c>
      <c r="F99" t="str">
        <f>IF(AND(tblSettlement[[#This Row],[TransactionID]]&lt;&gt;"", COUNTIF(tblTransactions[TransactionID],tblSettlement[[#This Row],[TransactionID]])=0), " R7 - Orphan Settlement", "")</f>
        <v/>
      </c>
    </row>
    <row r="100" spans="1:6" x14ac:dyDescent="0.3">
      <c r="A100" t="s">
        <v>1577</v>
      </c>
      <c r="B100" t="s">
        <v>354</v>
      </c>
      <c r="C100" s="2">
        <v>46221.692361111112</v>
      </c>
      <c r="D100" s="6">
        <v>25066.6</v>
      </c>
      <c r="E100" t="s">
        <v>1479</v>
      </c>
      <c r="F100" t="str">
        <f>IF(AND(tblSettlement[[#This Row],[TransactionID]]&lt;&gt;"", COUNTIF(tblTransactions[TransactionID],tblSettlement[[#This Row],[TransactionID]])=0), " R7 - Orphan Settlement", "")</f>
        <v/>
      </c>
    </row>
    <row r="101" spans="1:6" x14ac:dyDescent="0.3">
      <c r="A101" t="s">
        <v>1578</v>
      </c>
      <c r="B101" t="s">
        <v>357</v>
      </c>
      <c r="C101" s="2">
        <v>46208.79791666667</v>
      </c>
      <c r="D101" s="6">
        <v>30895.9</v>
      </c>
      <c r="E101" t="s">
        <v>1479</v>
      </c>
      <c r="F101" t="str">
        <f>IF(AND(tblSettlement[[#This Row],[TransactionID]]&lt;&gt;"", COUNTIF(tblTransactions[TransactionID],tblSettlement[[#This Row],[TransactionID]])=0), " R7 - Orphan Settlement", "")</f>
        <v/>
      </c>
    </row>
    <row r="102" spans="1:6" x14ac:dyDescent="0.3">
      <c r="A102" t="s">
        <v>1579</v>
      </c>
      <c r="B102" t="s">
        <v>363</v>
      </c>
      <c r="C102" s="2">
        <v>46285.830555555556</v>
      </c>
      <c r="D102" s="6">
        <v>57015.29</v>
      </c>
      <c r="E102" t="s">
        <v>1479</v>
      </c>
      <c r="F102" t="str">
        <f>IF(AND(tblSettlement[[#This Row],[TransactionID]]&lt;&gt;"", COUNTIF(tblTransactions[TransactionID],tblSettlement[[#This Row],[TransactionID]])=0), " R7 - Orphan Settlement", "")</f>
        <v/>
      </c>
    </row>
    <row r="103" spans="1:6" x14ac:dyDescent="0.3">
      <c r="A103" t="s">
        <v>1580</v>
      </c>
      <c r="B103" t="s">
        <v>365</v>
      </c>
      <c r="C103" s="2">
        <v>46234.795138888891</v>
      </c>
      <c r="D103" s="6">
        <v>32689.37</v>
      </c>
      <c r="E103" t="s">
        <v>1479</v>
      </c>
      <c r="F103" t="str">
        <f>IF(AND(tblSettlement[[#This Row],[TransactionID]]&lt;&gt;"", COUNTIF(tblTransactions[TransactionID],tblSettlement[[#This Row],[TransactionID]])=0), " R7 - Orphan Settlement", "")</f>
        <v/>
      </c>
    </row>
    <row r="104" spans="1:6" x14ac:dyDescent="0.3">
      <c r="A104" t="s">
        <v>1581</v>
      </c>
      <c r="B104" t="s">
        <v>368</v>
      </c>
      <c r="C104" s="2">
        <v>46208.347222222219</v>
      </c>
      <c r="D104" s="6">
        <v>59761.72</v>
      </c>
      <c r="E104" t="s">
        <v>1479</v>
      </c>
      <c r="F104" t="str">
        <f>IF(AND(tblSettlement[[#This Row],[TransactionID]]&lt;&gt;"", COUNTIF(tblTransactions[TransactionID],tblSettlement[[#This Row],[TransactionID]])=0), " R7 - Orphan Settlement", "")</f>
        <v/>
      </c>
    </row>
    <row r="105" spans="1:6" x14ac:dyDescent="0.3">
      <c r="A105" t="s">
        <v>1582</v>
      </c>
      <c r="B105" t="s">
        <v>371</v>
      </c>
      <c r="C105" s="2">
        <v>46256.738194444442</v>
      </c>
      <c r="D105" s="6">
        <v>59490.83</v>
      </c>
      <c r="E105" t="s">
        <v>1479</v>
      </c>
      <c r="F105" t="str">
        <f>IF(AND(tblSettlement[[#This Row],[TransactionID]]&lt;&gt;"", COUNTIF(tblTransactions[TransactionID],tblSettlement[[#This Row],[TransactionID]])=0), " R7 - Orphan Settlement", "")</f>
        <v/>
      </c>
    </row>
    <row r="106" spans="1:6" x14ac:dyDescent="0.3">
      <c r="A106" t="s">
        <v>1583</v>
      </c>
      <c r="B106" t="s">
        <v>374</v>
      </c>
      <c r="C106" s="2">
        <v>46269.942361111112</v>
      </c>
      <c r="D106" s="6">
        <v>10948.05</v>
      </c>
      <c r="E106" t="s">
        <v>1479</v>
      </c>
      <c r="F106" t="str">
        <f>IF(AND(tblSettlement[[#This Row],[TransactionID]]&lt;&gt;"", COUNTIF(tblTransactions[TransactionID],tblSettlement[[#This Row],[TransactionID]])=0), " R7 - Orphan Settlement", "")</f>
        <v/>
      </c>
    </row>
    <row r="107" spans="1:6" x14ac:dyDescent="0.3">
      <c r="A107" t="s">
        <v>1584</v>
      </c>
      <c r="B107" t="s">
        <v>377</v>
      </c>
      <c r="C107" s="2">
        <v>46266.929166666669</v>
      </c>
      <c r="D107" s="6">
        <v>50901.41</v>
      </c>
      <c r="E107" t="s">
        <v>1479</v>
      </c>
      <c r="F107" t="str">
        <f>IF(AND(tblSettlement[[#This Row],[TransactionID]]&lt;&gt;"", COUNTIF(tblTransactions[TransactionID],tblSettlement[[#This Row],[TransactionID]])=0), " R7 - Orphan Settlement", "")</f>
        <v/>
      </c>
    </row>
    <row r="108" spans="1:6" x14ac:dyDescent="0.3">
      <c r="A108" t="s">
        <v>1585</v>
      </c>
      <c r="B108" t="s">
        <v>380</v>
      </c>
      <c r="C108" s="2">
        <v>46288.613888888889</v>
      </c>
      <c r="D108" s="6">
        <v>18944.84</v>
      </c>
      <c r="E108" t="s">
        <v>1479</v>
      </c>
      <c r="F108" t="str">
        <f>IF(AND(tblSettlement[[#This Row],[TransactionID]]&lt;&gt;"", COUNTIF(tblTransactions[TransactionID],tblSettlement[[#This Row],[TransactionID]])=0), " R7 - Orphan Settlement", "")</f>
        <v/>
      </c>
    </row>
    <row r="109" spans="1:6" x14ac:dyDescent="0.3">
      <c r="A109" t="s">
        <v>1586</v>
      </c>
      <c r="B109" t="s">
        <v>383</v>
      </c>
      <c r="C109" s="2">
        <v>46235.60833333333</v>
      </c>
      <c r="D109" s="6">
        <v>27082.2</v>
      </c>
      <c r="E109" t="s">
        <v>1479</v>
      </c>
      <c r="F109" t="str">
        <f>IF(AND(tblSettlement[[#This Row],[TransactionID]]&lt;&gt;"", COUNTIF(tblTransactions[TransactionID],tblSettlement[[#This Row],[TransactionID]])=0), " R7 - Orphan Settlement", "")</f>
        <v/>
      </c>
    </row>
    <row r="110" spans="1:6" x14ac:dyDescent="0.3">
      <c r="A110" t="s">
        <v>1587</v>
      </c>
      <c r="B110" t="s">
        <v>385</v>
      </c>
      <c r="C110" s="2">
        <v>46240.35833333333</v>
      </c>
      <c r="D110" s="6">
        <v>64913.79</v>
      </c>
      <c r="E110" t="s">
        <v>1479</v>
      </c>
      <c r="F110" t="str">
        <f>IF(AND(tblSettlement[[#This Row],[TransactionID]]&lt;&gt;"", COUNTIF(tblTransactions[TransactionID],tblSettlement[[#This Row],[TransactionID]])=0), " R7 - Orphan Settlement", "")</f>
        <v/>
      </c>
    </row>
    <row r="111" spans="1:6" x14ac:dyDescent="0.3">
      <c r="A111" t="s">
        <v>1588</v>
      </c>
      <c r="B111" t="s">
        <v>388</v>
      </c>
      <c r="C111" s="2">
        <v>46236.743750000001</v>
      </c>
      <c r="D111" s="6">
        <v>26585.99</v>
      </c>
      <c r="E111" t="s">
        <v>1479</v>
      </c>
      <c r="F111" t="str">
        <f>IF(AND(tblSettlement[[#This Row],[TransactionID]]&lt;&gt;"", COUNTIF(tblTransactions[TransactionID],tblSettlement[[#This Row],[TransactionID]])=0), " R7 - Orphan Settlement", "")</f>
        <v/>
      </c>
    </row>
    <row r="112" spans="1:6" x14ac:dyDescent="0.3">
      <c r="A112" t="s">
        <v>1589</v>
      </c>
      <c r="B112" t="s">
        <v>391</v>
      </c>
      <c r="C112" s="2">
        <v>46287.414583333331</v>
      </c>
      <c r="D112" s="6">
        <v>47152.49</v>
      </c>
      <c r="E112" t="s">
        <v>1479</v>
      </c>
      <c r="F112" t="str">
        <f>IF(AND(tblSettlement[[#This Row],[TransactionID]]&lt;&gt;"", COUNTIF(tblTransactions[TransactionID],tblSettlement[[#This Row],[TransactionID]])=0), " R7 - Orphan Settlement", "")</f>
        <v/>
      </c>
    </row>
    <row r="113" spans="1:6" x14ac:dyDescent="0.3">
      <c r="A113" t="s">
        <v>1590</v>
      </c>
      <c r="B113" t="s">
        <v>394</v>
      </c>
      <c r="C113" s="2">
        <v>46216.929166666669</v>
      </c>
      <c r="D113" s="6">
        <v>24672.25</v>
      </c>
      <c r="E113" t="s">
        <v>1479</v>
      </c>
      <c r="F113" t="str">
        <f>IF(AND(tblSettlement[[#This Row],[TransactionID]]&lt;&gt;"", COUNTIF(tblTransactions[TransactionID],tblSettlement[[#This Row],[TransactionID]])=0), " R7 - Orphan Settlement", "")</f>
        <v/>
      </c>
    </row>
    <row r="114" spans="1:6" x14ac:dyDescent="0.3">
      <c r="A114" t="s">
        <v>1591</v>
      </c>
      <c r="B114" t="s">
        <v>397</v>
      </c>
      <c r="C114" s="2">
        <v>46274.706944444442</v>
      </c>
      <c r="D114" s="6">
        <v>20621.419999999998</v>
      </c>
      <c r="E114" t="s">
        <v>1479</v>
      </c>
      <c r="F114" t="str">
        <f>IF(AND(tblSettlement[[#This Row],[TransactionID]]&lt;&gt;"", COUNTIF(tblTransactions[TransactionID],tblSettlement[[#This Row],[TransactionID]])=0), " R7 - Orphan Settlement", "")</f>
        <v/>
      </c>
    </row>
    <row r="115" spans="1:6" x14ac:dyDescent="0.3">
      <c r="A115" t="s">
        <v>1592</v>
      </c>
      <c r="B115" t="s">
        <v>403</v>
      </c>
      <c r="C115" s="2">
        <v>46216.850694444445</v>
      </c>
      <c r="D115" s="6">
        <v>1290.42</v>
      </c>
      <c r="E115" t="s">
        <v>1479</v>
      </c>
      <c r="F115" t="str">
        <f>IF(AND(tblSettlement[[#This Row],[TransactionID]]&lt;&gt;"", COUNTIF(tblTransactions[TransactionID],tblSettlement[[#This Row],[TransactionID]])=0), " R7 - Orphan Settlement", "")</f>
        <v/>
      </c>
    </row>
    <row r="116" spans="1:6" x14ac:dyDescent="0.3">
      <c r="A116" t="s">
        <v>1593</v>
      </c>
      <c r="B116" t="s">
        <v>406</v>
      </c>
      <c r="C116" s="2">
        <v>46278.619444444441</v>
      </c>
      <c r="D116" s="6">
        <v>47981.56</v>
      </c>
      <c r="E116" t="s">
        <v>1479</v>
      </c>
      <c r="F116" t="str">
        <f>IF(AND(tblSettlement[[#This Row],[TransactionID]]&lt;&gt;"", COUNTIF(tblTransactions[TransactionID],tblSettlement[[#This Row],[TransactionID]])=0), " R7 - Orphan Settlement", "")</f>
        <v/>
      </c>
    </row>
    <row r="117" spans="1:6" x14ac:dyDescent="0.3">
      <c r="A117" t="s">
        <v>1594</v>
      </c>
      <c r="B117" t="s">
        <v>409</v>
      </c>
      <c r="C117" s="2">
        <v>46282.486805555556</v>
      </c>
      <c r="D117" s="6">
        <v>4975.47</v>
      </c>
      <c r="E117" t="s">
        <v>1479</v>
      </c>
      <c r="F117" t="str">
        <f>IF(AND(tblSettlement[[#This Row],[TransactionID]]&lt;&gt;"", COUNTIF(tblTransactions[TransactionID],tblSettlement[[#This Row],[TransactionID]])=0), " R7 - Orphan Settlement", "")</f>
        <v/>
      </c>
    </row>
    <row r="118" spans="1:6" x14ac:dyDescent="0.3">
      <c r="A118" t="s">
        <v>1595</v>
      </c>
      <c r="B118" t="s">
        <v>412</v>
      </c>
      <c r="C118" s="2">
        <v>46221.334722222222</v>
      </c>
      <c r="D118" s="6">
        <v>23001.25</v>
      </c>
      <c r="E118" t="s">
        <v>1479</v>
      </c>
      <c r="F118" t="str">
        <f>IF(AND(tblSettlement[[#This Row],[TransactionID]]&lt;&gt;"", COUNTIF(tblTransactions[TransactionID],tblSettlement[[#This Row],[TransactionID]])=0), " R7 - Orphan Settlement", "")</f>
        <v/>
      </c>
    </row>
    <row r="119" spans="1:6" x14ac:dyDescent="0.3">
      <c r="A119" t="s">
        <v>1596</v>
      </c>
      <c r="B119" t="s">
        <v>415</v>
      </c>
      <c r="C119" s="2">
        <v>46256.640972222223</v>
      </c>
      <c r="D119" s="6">
        <v>50368.84</v>
      </c>
      <c r="E119" t="s">
        <v>1479</v>
      </c>
      <c r="F119" t="str">
        <f>IF(AND(tblSettlement[[#This Row],[TransactionID]]&lt;&gt;"", COUNTIF(tblTransactions[TransactionID],tblSettlement[[#This Row],[TransactionID]])=0), " R7 - Orphan Settlement", "")</f>
        <v/>
      </c>
    </row>
    <row r="120" spans="1:6" x14ac:dyDescent="0.3">
      <c r="A120" t="s">
        <v>1597</v>
      </c>
      <c r="B120" t="s">
        <v>418</v>
      </c>
      <c r="C120" s="2">
        <v>46257.754166666666</v>
      </c>
      <c r="D120" s="6">
        <v>62568.56</v>
      </c>
      <c r="E120" t="s">
        <v>1479</v>
      </c>
      <c r="F120" t="str">
        <f>IF(AND(tblSettlement[[#This Row],[TransactionID]]&lt;&gt;"", COUNTIF(tblTransactions[TransactionID],tblSettlement[[#This Row],[TransactionID]])=0), " R7 - Orphan Settlement", "")</f>
        <v/>
      </c>
    </row>
    <row r="121" spans="1:6" x14ac:dyDescent="0.3">
      <c r="A121" t="s">
        <v>1598</v>
      </c>
      <c r="B121" t="s">
        <v>421</v>
      </c>
      <c r="C121" s="2">
        <v>46263.635416666664</v>
      </c>
      <c r="D121" s="6">
        <v>64194.9</v>
      </c>
      <c r="E121" t="s">
        <v>1479</v>
      </c>
      <c r="F121" t="str">
        <f>IF(AND(tblSettlement[[#This Row],[TransactionID]]&lt;&gt;"", COUNTIF(tblTransactions[TransactionID],tblSettlement[[#This Row],[TransactionID]])=0), " R7 - Orphan Settlement", "")</f>
        <v/>
      </c>
    </row>
    <row r="122" spans="1:6" x14ac:dyDescent="0.3">
      <c r="A122" t="s">
        <v>1599</v>
      </c>
      <c r="B122" t="s">
        <v>424</v>
      </c>
      <c r="C122" s="2">
        <v>46211.595138888886</v>
      </c>
      <c r="D122" s="6">
        <v>14438.19</v>
      </c>
      <c r="E122" t="s">
        <v>1479</v>
      </c>
      <c r="F122" t="str">
        <f>IF(AND(tblSettlement[[#This Row],[TransactionID]]&lt;&gt;"", COUNTIF(tblTransactions[TransactionID],tblSettlement[[#This Row],[TransactionID]])=0), " R7 - Orphan Settlement", "")</f>
        <v/>
      </c>
    </row>
    <row r="123" spans="1:6" x14ac:dyDescent="0.3">
      <c r="A123" t="s">
        <v>1600</v>
      </c>
      <c r="B123" t="s">
        <v>427</v>
      </c>
      <c r="C123" s="2">
        <v>46211.847916666666</v>
      </c>
      <c r="D123" s="6">
        <v>18456.78</v>
      </c>
      <c r="E123" t="s">
        <v>1479</v>
      </c>
      <c r="F123" t="str">
        <f>IF(AND(tblSettlement[[#This Row],[TransactionID]]&lt;&gt;"", COUNTIF(tblTransactions[TransactionID],tblSettlement[[#This Row],[TransactionID]])=0), " R7 - Orphan Settlement", "")</f>
        <v/>
      </c>
    </row>
    <row r="124" spans="1:6" x14ac:dyDescent="0.3">
      <c r="A124" t="s">
        <v>1601</v>
      </c>
      <c r="B124" t="s">
        <v>429</v>
      </c>
      <c r="C124" s="2">
        <v>46282.494444444441</v>
      </c>
      <c r="D124" s="6">
        <v>65259.73</v>
      </c>
      <c r="E124" t="s">
        <v>1479</v>
      </c>
      <c r="F124" t="str">
        <f>IF(AND(tblSettlement[[#This Row],[TransactionID]]&lt;&gt;"", COUNTIF(tblTransactions[TransactionID],tblSettlement[[#This Row],[TransactionID]])=0), " R7 - Orphan Settlement", "")</f>
        <v/>
      </c>
    </row>
    <row r="125" spans="1:6" x14ac:dyDescent="0.3">
      <c r="A125" t="s">
        <v>1602</v>
      </c>
      <c r="B125" t="s">
        <v>431</v>
      </c>
      <c r="C125" s="2">
        <v>46220.677777777775</v>
      </c>
      <c r="D125" s="6">
        <v>59688.91</v>
      </c>
      <c r="E125" t="s">
        <v>1479</v>
      </c>
      <c r="F125" t="str">
        <f>IF(AND(tblSettlement[[#This Row],[TransactionID]]&lt;&gt;"", COUNTIF(tblTransactions[TransactionID],tblSettlement[[#This Row],[TransactionID]])=0), " R7 - Orphan Settlement", "")</f>
        <v/>
      </c>
    </row>
    <row r="126" spans="1:6" x14ac:dyDescent="0.3">
      <c r="A126" t="s">
        <v>1603</v>
      </c>
      <c r="B126" t="s">
        <v>433</v>
      </c>
      <c r="C126" s="2">
        <v>46280.542361111111</v>
      </c>
      <c r="D126" s="6">
        <v>13274.9</v>
      </c>
      <c r="E126" t="s">
        <v>1479</v>
      </c>
      <c r="F126" t="str">
        <f>IF(AND(tblSettlement[[#This Row],[TransactionID]]&lt;&gt;"", COUNTIF(tblTransactions[TransactionID],tblSettlement[[#This Row],[TransactionID]])=0), " R7 - Orphan Settlement", "")</f>
        <v/>
      </c>
    </row>
    <row r="127" spans="1:6" x14ac:dyDescent="0.3">
      <c r="A127" t="s">
        <v>1604</v>
      </c>
      <c r="B127" t="s">
        <v>436</v>
      </c>
      <c r="C127" s="2">
        <v>46266.65902777778</v>
      </c>
      <c r="D127" s="6">
        <v>27312.41</v>
      </c>
      <c r="E127" t="s">
        <v>1479</v>
      </c>
      <c r="F127" t="str">
        <f>IF(AND(tblSettlement[[#This Row],[TransactionID]]&lt;&gt;"", COUNTIF(tblTransactions[TransactionID],tblSettlement[[#This Row],[TransactionID]])=0), " R7 - Orphan Settlement", "")</f>
        <v/>
      </c>
    </row>
    <row r="128" spans="1:6" x14ac:dyDescent="0.3">
      <c r="A128" t="s">
        <v>1605</v>
      </c>
      <c r="B128" t="s">
        <v>442</v>
      </c>
      <c r="C128" s="2">
        <v>46293.396527777775</v>
      </c>
      <c r="D128" s="6">
        <v>53502</v>
      </c>
      <c r="E128" t="s">
        <v>1479</v>
      </c>
      <c r="F128" t="str">
        <f>IF(AND(tblSettlement[[#This Row],[TransactionID]]&lt;&gt;"", COUNTIF(tblTransactions[TransactionID],tblSettlement[[#This Row],[TransactionID]])=0), " R7 - Orphan Settlement", "")</f>
        <v/>
      </c>
    </row>
    <row r="129" spans="1:6" x14ac:dyDescent="0.3">
      <c r="A129" t="s">
        <v>1606</v>
      </c>
      <c r="B129" t="s">
        <v>445</v>
      </c>
      <c r="C129" s="2">
        <v>46222.527083333334</v>
      </c>
      <c r="D129" s="6">
        <v>47572.49</v>
      </c>
      <c r="E129" t="s">
        <v>1479</v>
      </c>
      <c r="F129" t="str">
        <f>IF(AND(tblSettlement[[#This Row],[TransactionID]]&lt;&gt;"", COUNTIF(tblTransactions[TransactionID],tblSettlement[[#This Row],[TransactionID]])=0), " R7 - Orphan Settlement", "")</f>
        <v/>
      </c>
    </row>
    <row r="130" spans="1:6" x14ac:dyDescent="0.3">
      <c r="A130" t="s">
        <v>1607</v>
      </c>
      <c r="B130" t="s">
        <v>448</v>
      </c>
      <c r="C130" s="2">
        <v>46244.647222222222</v>
      </c>
      <c r="D130" s="6">
        <v>45505.65</v>
      </c>
      <c r="E130" t="s">
        <v>1479</v>
      </c>
      <c r="F130" t="str">
        <f>IF(AND(tblSettlement[[#This Row],[TransactionID]]&lt;&gt;"", COUNTIF(tblTransactions[TransactionID],tblSettlement[[#This Row],[TransactionID]])=0), " R7 - Orphan Settlement", "")</f>
        <v/>
      </c>
    </row>
    <row r="131" spans="1:6" x14ac:dyDescent="0.3">
      <c r="A131" t="s">
        <v>1608</v>
      </c>
      <c r="B131" t="s">
        <v>451</v>
      </c>
      <c r="C131" s="2">
        <v>46262.663888888892</v>
      </c>
      <c r="D131" s="6">
        <v>17329.89</v>
      </c>
      <c r="E131" t="s">
        <v>1479</v>
      </c>
      <c r="F131" t="str">
        <f>IF(AND(tblSettlement[[#This Row],[TransactionID]]&lt;&gt;"", COUNTIF(tblTransactions[TransactionID],tblSettlement[[#This Row],[TransactionID]])=0), " R7 - Orphan Settlement", "")</f>
        <v/>
      </c>
    </row>
    <row r="132" spans="1:6" x14ac:dyDescent="0.3">
      <c r="A132" t="s">
        <v>1609</v>
      </c>
      <c r="B132" t="s">
        <v>454</v>
      </c>
      <c r="C132" s="2">
        <v>46247.597222222219</v>
      </c>
      <c r="D132" s="6">
        <v>49966.81</v>
      </c>
      <c r="E132" t="s">
        <v>1479</v>
      </c>
      <c r="F132" t="str">
        <f>IF(AND(tblSettlement[[#This Row],[TransactionID]]&lt;&gt;"", COUNTIF(tblTransactions[TransactionID],tblSettlement[[#This Row],[TransactionID]])=0), " R7 - Orphan Settlement", "")</f>
        <v/>
      </c>
    </row>
    <row r="133" spans="1:6" x14ac:dyDescent="0.3">
      <c r="A133" t="s">
        <v>1610</v>
      </c>
      <c r="B133" t="s">
        <v>456</v>
      </c>
      <c r="C133" s="2">
        <v>46217.587500000001</v>
      </c>
      <c r="D133" s="6">
        <v>55908.03</v>
      </c>
      <c r="E133" t="s">
        <v>1479</v>
      </c>
      <c r="F133" t="str">
        <f>IF(AND(tblSettlement[[#This Row],[TransactionID]]&lt;&gt;"", COUNTIF(tblTransactions[TransactionID],tblSettlement[[#This Row],[TransactionID]])=0), " R7 - Orphan Settlement", "")</f>
        <v/>
      </c>
    </row>
    <row r="134" spans="1:6" x14ac:dyDescent="0.3">
      <c r="A134" t="s">
        <v>1611</v>
      </c>
      <c r="B134" t="s">
        <v>458</v>
      </c>
      <c r="C134" s="2">
        <v>46290.393055555556</v>
      </c>
      <c r="D134" s="6">
        <v>26681.46</v>
      </c>
      <c r="E134" t="s">
        <v>1479</v>
      </c>
      <c r="F134" t="str">
        <f>IF(AND(tblSettlement[[#This Row],[TransactionID]]&lt;&gt;"", COUNTIF(tblTransactions[TransactionID],tblSettlement[[#This Row],[TransactionID]])=0), " R7 - Orphan Settlement", "")</f>
        <v/>
      </c>
    </row>
    <row r="135" spans="1:6" x14ac:dyDescent="0.3">
      <c r="A135" t="s">
        <v>1612</v>
      </c>
      <c r="B135" t="s">
        <v>461</v>
      </c>
      <c r="C135" s="2">
        <v>46250.400000000001</v>
      </c>
      <c r="D135" s="6">
        <v>38179.089999999997</v>
      </c>
      <c r="E135" t="s">
        <v>1479</v>
      </c>
      <c r="F135" t="str">
        <f>IF(AND(tblSettlement[[#This Row],[TransactionID]]&lt;&gt;"", COUNTIF(tblTransactions[TransactionID],tblSettlement[[#This Row],[TransactionID]])=0), " R7 - Orphan Settlement", "")</f>
        <v/>
      </c>
    </row>
    <row r="136" spans="1:6" x14ac:dyDescent="0.3">
      <c r="A136" t="s">
        <v>1613</v>
      </c>
      <c r="B136" t="s">
        <v>464</v>
      </c>
      <c r="C136" s="2">
        <v>46276.546527777777</v>
      </c>
      <c r="D136" s="6">
        <v>57254.77</v>
      </c>
      <c r="E136" t="s">
        <v>1479</v>
      </c>
      <c r="F136" t="str">
        <f>IF(AND(tblSettlement[[#This Row],[TransactionID]]&lt;&gt;"", COUNTIF(tblTransactions[TransactionID],tblSettlement[[#This Row],[TransactionID]])=0), " R7 - Orphan Settlement", "")</f>
        <v/>
      </c>
    </row>
    <row r="137" spans="1:6" x14ac:dyDescent="0.3">
      <c r="A137" t="s">
        <v>1614</v>
      </c>
      <c r="B137" t="s">
        <v>467</v>
      </c>
      <c r="C137" s="2">
        <v>46283.945833333331</v>
      </c>
      <c r="D137" s="6">
        <v>62252.19</v>
      </c>
      <c r="E137" t="s">
        <v>1479</v>
      </c>
      <c r="F137" t="str">
        <f>IF(AND(tblSettlement[[#This Row],[TransactionID]]&lt;&gt;"", COUNTIF(tblTransactions[TransactionID],tblSettlement[[#This Row],[TransactionID]])=0), " R7 - Orphan Settlement", "")</f>
        <v/>
      </c>
    </row>
    <row r="138" spans="1:6" x14ac:dyDescent="0.3">
      <c r="A138" t="s">
        <v>1615</v>
      </c>
      <c r="B138" t="s">
        <v>470</v>
      </c>
      <c r="C138" s="2">
        <v>46247.541666666664</v>
      </c>
      <c r="D138" s="6">
        <v>13810.07</v>
      </c>
      <c r="E138" t="s">
        <v>1479</v>
      </c>
      <c r="F138" t="str">
        <f>IF(AND(tblSettlement[[#This Row],[TransactionID]]&lt;&gt;"", COUNTIF(tblTransactions[TransactionID],tblSettlement[[#This Row],[TransactionID]])=0), " R7 - Orphan Settlement", "")</f>
        <v/>
      </c>
    </row>
    <row r="139" spans="1:6" x14ac:dyDescent="0.3">
      <c r="A139" t="s">
        <v>1616</v>
      </c>
      <c r="B139" t="s">
        <v>472</v>
      </c>
      <c r="C139" s="2">
        <v>46215.814583333333</v>
      </c>
      <c r="D139" s="6">
        <v>16331.18</v>
      </c>
      <c r="E139" t="s">
        <v>1479</v>
      </c>
      <c r="F139" t="str">
        <f>IF(AND(tblSettlement[[#This Row],[TransactionID]]&lt;&gt;"", COUNTIF(tblTransactions[TransactionID],tblSettlement[[#This Row],[TransactionID]])=0), " R7 - Orphan Settlement", "")</f>
        <v/>
      </c>
    </row>
    <row r="140" spans="1:6" x14ac:dyDescent="0.3">
      <c r="A140" t="s">
        <v>1617</v>
      </c>
      <c r="B140" t="s">
        <v>475</v>
      </c>
      <c r="C140" s="2">
        <v>46279.711805555555</v>
      </c>
      <c r="D140" s="6">
        <v>66279.83</v>
      </c>
      <c r="E140" t="s">
        <v>1479</v>
      </c>
      <c r="F140" t="str">
        <f>IF(AND(tblSettlement[[#This Row],[TransactionID]]&lt;&gt;"", COUNTIF(tblTransactions[TransactionID],tblSettlement[[#This Row],[TransactionID]])=0), " R7 - Orphan Settlement", "")</f>
        <v/>
      </c>
    </row>
    <row r="141" spans="1:6" x14ac:dyDescent="0.3">
      <c r="A141" t="s">
        <v>1618</v>
      </c>
      <c r="B141" t="s">
        <v>478</v>
      </c>
      <c r="C141" s="2">
        <v>46260.768750000003</v>
      </c>
      <c r="D141" s="6">
        <v>36553.21</v>
      </c>
      <c r="E141" t="s">
        <v>1479</v>
      </c>
      <c r="F141" t="str">
        <f>IF(AND(tblSettlement[[#This Row],[TransactionID]]&lt;&gt;"", COUNTIF(tblTransactions[TransactionID],tblSettlement[[#This Row],[TransactionID]])=0), " R7 - Orphan Settlement", "")</f>
        <v/>
      </c>
    </row>
    <row r="142" spans="1:6" x14ac:dyDescent="0.3">
      <c r="A142" t="s">
        <v>1619</v>
      </c>
      <c r="B142" t="s">
        <v>481</v>
      </c>
      <c r="C142" s="2">
        <v>46248.588194444441</v>
      </c>
      <c r="D142" s="6">
        <v>21422.67</v>
      </c>
      <c r="E142" t="s">
        <v>1479</v>
      </c>
      <c r="F142" t="str">
        <f>IF(AND(tblSettlement[[#This Row],[TransactionID]]&lt;&gt;"", COUNTIF(tblTransactions[TransactionID],tblSettlement[[#This Row],[TransactionID]])=0), " R7 - Orphan Settlement", "")</f>
        <v/>
      </c>
    </row>
    <row r="143" spans="1:6" x14ac:dyDescent="0.3">
      <c r="A143" t="s">
        <v>1620</v>
      </c>
      <c r="B143" t="s">
        <v>484</v>
      </c>
      <c r="C143" s="2">
        <v>46235.609722222223</v>
      </c>
      <c r="D143" s="6">
        <v>4344.95</v>
      </c>
      <c r="E143" t="s">
        <v>1479</v>
      </c>
      <c r="F143" t="str">
        <f>IF(AND(tblSettlement[[#This Row],[TransactionID]]&lt;&gt;"", COUNTIF(tblTransactions[TransactionID],tblSettlement[[#This Row],[TransactionID]])=0), " R7 - Orphan Settlement", "")</f>
        <v/>
      </c>
    </row>
    <row r="144" spans="1:6" x14ac:dyDescent="0.3">
      <c r="A144" t="s">
        <v>1621</v>
      </c>
      <c r="B144" t="s">
        <v>487</v>
      </c>
      <c r="C144" s="2">
        <v>46245.375</v>
      </c>
      <c r="D144" s="6">
        <v>37429.550000000003</v>
      </c>
      <c r="E144" t="s">
        <v>1479</v>
      </c>
      <c r="F144" t="str">
        <f>IF(AND(tblSettlement[[#This Row],[TransactionID]]&lt;&gt;"", COUNTIF(tblTransactions[TransactionID],tblSettlement[[#This Row],[TransactionID]])=0), " R7 - Orphan Settlement", "")</f>
        <v/>
      </c>
    </row>
    <row r="145" spans="1:6" x14ac:dyDescent="0.3">
      <c r="A145" t="s">
        <v>1622</v>
      </c>
      <c r="B145" t="s">
        <v>489</v>
      </c>
      <c r="C145" s="2">
        <v>46271.703472222223</v>
      </c>
      <c r="D145" s="6">
        <v>50186.6</v>
      </c>
      <c r="E145" t="s">
        <v>1479</v>
      </c>
      <c r="F145" t="str">
        <f>IF(AND(tblSettlement[[#This Row],[TransactionID]]&lt;&gt;"", COUNTIF(tblTransactions[TransactionID],tblSettlement[[#This Row],[TransactionID]])=0), " R7 - Orphan Settlement", "")</f>
        <v/>
      </c>
    </row>
    <row r="146" spans="1:6" x14ac:dyDescent="0.3">
      <c r="A146" t="s">
        <v>1623</v>
      </c>
      <c r="B146" t="s">
        <v>492</v>
      </c>
      <c r="C146" s="2">
        <v>46215.888888888891</v>
      </c>
      <c r="D146" s="6">
        <v>43288</v>
      </c>
      <c r="E146" t="s">
        <v>1479</v>
      </c>
      <c r="F146" t="str">
        <f>IF(AND(tblSettlement[[#This Row],[TransactionID]]&lt;&gt;"", COUNTIF(tblTransactions[TransactionID],tblSettlement[[#This Row],[TransactionID]])=0), " R7 - Orphan Settlement", "")</f>
        <v/>
      </c>
    </row>
    <row r="147" spans="1:6" x14ac:dyDescent="0.3">
      <c r="A147" t="s">
        <v>1624</v>
      </c>
      <c r="B147" t="s">
        <v>495</v>
      </c>
      <c r="C147" s="2">
        <v>46207.548611111109</v>
      </c>
      <c r="D147" s="6">
        <v>60148.83</v>
      </c>
      <c r="E147" t="s">
        <v>1479</v>
      </c>
      <c r="F147" t="str">
        <f>IF(AND(tblSettlement[[#This Row],[TransactionID]]&lt;&gt;"", COUNTIF(tblTransactions[TransactionID],tblSettlement[[#This Row],[TransactionID]])=0), " R7 - Orphan Settlement", "")</f>
        <v/>
      </c>
    </row>
    <row r="148" spans="1:6" x14ac:dyDescent="0.3">
      <c r="A148" t="s">
        <v>1625</v>
      </c>
      <c r="B148" t="s">
        <v>498</v>
      </c>
      <c r="C148" s="2">
        <v>46237.609027777777</v>
      </c>
      <c r="D148" s="6">
        <v>30183.62</v>
      </c>
      <c r="E148" t="s">
        <v>1479</v>
      </c>
      <c r="F148" t="str">
        <f>IF(AND(tblSettlement[[#This Row],[TransactionID]]&lt;&gt;"", COUNTIF(tblTransactions[TransactionID],tblSettlement[[#This Row],[TransactionID]])=0), " R7 - Orphan Settlement", "")</f>
        <v/>
      </c>
    </row>
    <row r="149" spans="1:6" x14ac:dyDescent="0.3">
      <c r="A149" t="s">
        <v>1626</v>
      </c>
      <c r="B149" t="s">
        <v>501</v>
      </c>
      <c r="C149" s="2">
        <v>46213.694444444445</v>
      </c>
      <c r="D149" s="6">
        <v>8673.49</v>
      </c>
      <c r="E149" t="s">
        <v>1479</v>
      </c>
      <c r="F149" t="str">
        <f>IF(AND(tblSettlement[[#This Row],[TransactionID]]&lt;&gt;"", COUNTIF(tblTransactions[TransactionID],tblSettlement[[#This Row],[TransactionID]])=0), " R7 - Orphan Settlement", "")</f>
        <v/>
      </c>
    </row>
    <row r="150" spans="1:6" x14ac:dyDescent="0.3">
      <c r="A150" t="s">
        <v>1627</v>
      </c>
      <c r="B150" t="s">
        <v>504</v>
      </c>
      <c r="C150" s="2">
        <v>46236.381249999999</v>
      </c>
      <c r="D150" s="6">
        <v>19383.62</v>
      </c>
      <c r="E150" t="s">
        <v>1479</v>
      </c>
      <c r="F150" t="str">
        <f>IF(AND(tblSettlement[[#This Row],[TransactionID]]&lt;&gt;"", COUNTIF(tblTransactions[TransactionID],tblSettlement[[#This Row],[TransactionID]])=0), " R7 - Orphan Settlement", "")</f>
        <v/>
      </c>
    </row>
    <row r="151" spans="1:6" x14ac:dyDescent="0.3">
      <c r="A151" t="s">
        <v>1628</v>
      </c>
      <c r="B151" t="s">
        <v>507</v>
      </c>
      <c r="C151" s="2">
        <v>46264.85833333333</v>
      </c>
      <c r="D151" s="6">
        <v>57050.82</v>
      </c>
      <c r="E151" t="s">
        <v>1479</v>
      </c>
      <c r="F151" t="str">
        <f>IF(AND(tblSettlement[[#This Row],[TransactionID]]&lt;&gt;"", COUNTIF(tblTransactions[TransactionID],tblSettlement[[#This Row],[TransactionID]])=0), " R7 - Orphan Settlement", "")</f>
        <v/>
      </c>
    </row>
    <row r="152" spans="1:6" x14ac:dyDescent="0.3">
      <c r="A152" t="s">
        <v>1629</v>
      </c>
      <c r="B152" t="s">
        <v>510</v>
      </c>
      <c r="C152" s="2">
        <v>46223.62777777778</v>
      </c>
      <c r="D152" s="6">
        <v>35301.85</v>
      </c>
      <c r="E152" t="s">
        <v>1479</v>
      </c>
      <c r="F152" t="str">
        <f>IF(AND(tblSettlement[[#This Row],[TransactionID]]&lt;&gt;"", COUNTIF(tblTransactions[TransactionID],tblSettlement[[#This Row],[TransactionID]])=0), " R7 - Orphan Settlement", "")</f>
        <v/>
      </c>
    </row>
    <row r="153" spans="1:6" x14ac:dyDescent="0.3">
      <c r="A153" t="s">
        <v>1630</v>
      </c>
      <c r="B153" t="s">
        <v>512</v>
      </c>
      <c r="C153" s="2">
        <v>46215.520138888889</v>
      </c>
      <c r="D153" s="6">
        <v>34030.559999999998</v>
      </c>
      <c r="E153" t="s">
        <v>1479</v>
      </c>
      <c r="F153" t="str">
        <f>IF(AND(tblSettlement[[#This Row],[TransactionID]]&lt;&gt;"", COUNTIF(tblTransactions[TransactionID],tblSettlement[[#This Row],[TransactionID]])=0), " R7 - Orphan Settlement", "")</f>
        <v/>
      </c>
    </row>
    <row r="154" spans="1:6" x14ac:dyDescent="0.3">
      <c r="A154" t="s">
        <v>1631</v>
      </c>
      <c r="B154" t="s">
        <v>515</v>
      </c>
      <c r="C154" s="2">
        <v>46283.730555555558</v>
      </c>
      <c r="D154" s="6">
        <v>28990.07</v>
      </c>
      <c r="E154" t="s">
        <v>1479</v>
      </c>
      <c r="F154" t="str">
        <f>IF(AND(tblSettlement[[#This Row],[TransactionID]]&lt;&gt;"", COUNTIF(tblTransactions[TransactionID],tblSettlement[[#This Row],[TransactionID]])=0), " R7 - Orphan Settlement", "")</f>
        <v/>
      </c>
    </row>
    <row r="155" spans="1:6" x14ac:dyDescent="0.3">
      <c r="A155" t="s">
        <v>1632</v>
      </c>
      <c r="B155" t="s">
        <v>521</v>
      </c>
      <c r="C155" s="2">
        <v>46298.397222222222</v>
      </c>
      <c r="D155" s="6">
        <v>48548</v>
      </c>
      <c r="E155" t="s">
        <v>1479</v>
      </c>
      <c r="F155" t="str">
        <f>IF(AND(tblSettlement[[#This Row],[TransactionID]]&lt;&gt;"", COUNTIF(tblTransactions[TransactionID],tblSettlement[[#This Row],[TransactionID]])=0), " R7 - Orphan Settlement", "")</f>
        <v/>
      </c>
    </row>
    <row r="156" spans="1:6" x14ac:dyDescent="0.3">
      <c r="A156" t="s">
        <v>1633</v>
      </c>
      <c r="B156" t="s">
        <v>527</v>
      </c>
      <c r="C156" s="2">
        <v>46287.76458333333</v>
      </c>
      <c r="D156" s="6">
        <v>5176.91</v>
      </c>
      <c r="E156" t="s">
        <v>1479</v>
      </c>
      <c r="F156" t="str">
        <f>IF(AND(tblSettlement[[#This Row],[TransactionID]]&lt;&gt;"", COUNTIF(tblTransactions[TransactionID],tblSettlement[[#This Row],[TransactionID]])=0), " R7 - Orphan Settlement", "")</f>
        <v/>
      </c>
    </row>
    <row r="157" spans="1:6" x14ac:dyDescent="0.3">
      <c r="A157" t="s">
        <v>1634</v>
      </c>
      <c r="B157" t="s">
        <v>533</v>
      </c>
      <c r="C157" s="2">
        <v>46245.683333333334</v>
      </c>
      <c r="D157" s="6">
        <v>48351.12</v>
      </c>
      <c r="E157" t="s">
        <v>1479</v>
      </c>
      <c r="F157" t="str">
        <f>IF(AND(tblSettlement[[#This Row],[TransactionID]]&lt;&gt;"", COUNTIF(tblTransactions[TransactionID],tblSettlement[[#This Row],[TransactionID]])=0), " R7 - Orphan Settlement", "")</f>
        <v/>
      </c>
    </row>
    <row r="158" spans="1:6" x14ac:dyDescent="0.3">
      <c r="A158" t="s">
        <v>1635</v>
      </c>
      <c r="B158" t="s">
        <v>536</v>
      </c>
      <c r="C158" s="2">
        <v>46271.542361111111</v>
      </c>
      <c r="D158" s="6">
        <v>27354.18</v>
      </c>
      <c r="E158" t="s">
        <v>1479</v>
      </c>
      <c r="F158" t="str">
        <f>IF(AND(tblSettlement[[#This Row],[TransactionID]]&lt;&gt;"", COUNTIF(tblTransactions[TransactionID],tblSettlement[[#This Row],[TransactionID]])=0), " R7 - Orphan Settlement", "")</f>
        <v/>
      </c>
    </row>
    <row r="159" spans="1:6" x14ac:dyDescent="0.3">
      <c r="A159" t="s">
        <v>1636</v>
      </c>
      <c r="B159" t="s">
        <v>539</v>
      </c>
      <c r="C159" s="2">
        <v>46230.463888888888</v>
      </c>
      <c r="D159" s="6">
        <v>11832.15</v>
      </c>
      <c r="E159" t="s">
        <v>1479</v>
      </c>
      <c r="F159" t="str">
        <f>IF(AND(tblSettlement[[#This Row],[TransactionID]]&lt;&gt;"", COUNTIF(tblTransactions[TransactionID],tblSettlement[[#This Row],[TransactionID]])=0), " R7 - Orphan Settlement", "")</f>
        <v/>
      </c>
    </row>
    <row r="160" spans="1:6" x14ac:dyDescent="0.3">
      <c r="A160" t="s">
        <v>1637</v>
      </c>
      <c r="B160" t="s">
        <v>542</v>
      </c>
      <c r="C160" s="2">
        <v>46211.76458333333</v>
      </c>
      <c r="D160" s="6">
        <v>65760.36</v>
      </c>
      <c r="E160" t="s">
        <v>1479</v>
      </c>
      <c r="F160" t="str">
        <f>IF(AND(tblSettlement[[#This Row],[TransactionID]]&lt;&gt;"", COUNTIF(tblTransactions[TransactionID],tblSettlement[[#This Row],[TransactionID]])=0), " R7 - Orphan Settlement", "")</f>
        <v/>
      </c>
    </row>
    <row r="161" spans="1:6" x14ac:dyDescent="0.3">
      <c r="A161" t="s">
        <v>1638</v>
      </c>
      <c r="B161" t="s">
        <v>545</v>
      </c>
      <c r="C161" s="2">
        <v>46295.86041666667</v>
      </c>
      <c r="D161" s="6">
        <v>60726.02</v>
      </c>
      <c r="E161" t="s">
        <v>1479</v>
      </c>
      <c r="F161" t="str">
        <f>IF(AND(tblSettlement[[#This Row],[TransactionID]]&lt;&gt;"", COUNTIF(tblTransactions[TransactionID],tblSettlement[[#This Row],[TransactionID]])=0), " R7 - Orphan Settlement", "")</f>
        <v/>
      </c>
    </row>
    <row r="162" spans="1:6" x14ac:dyDescent="0.3">
      <c r="A162" t="s">
        <v>1639</v>
      </c>
      <c r="B162" t="s">
        <v>548</v>
      </c>
      <c r="C162" s="2">
        <v>46260.720833333333</v>
      </c>
      <c r="D162" s="6">
        <v>56491.24</v>
      </c>
      <c r="E162" t="s">
        <v>1479</v>
      </c>
      <c r="F162" t="str">
        <f>IF(AND(tblSettlement[[#This Row],[TransactionID]]&lt;&gt;"", COUNTIF(tblTransactions[TransactionID],tblSettlement[[#This Row],[TransactionID]])=0), " R7 - Orphan Settlement", "")</f>
        <v/>
      </c>
    </row>
    <row r="163" spans="1:6" x14ac:dyDescent="0.3">
      <c r="A163" t="s">
        <v>1640</v>
      </c>
      <c r="B163" t="s">
        <v>554</v>
      </c>
      <c r="C163" s="2">
        <v>46274.590277777781</v>
      </c>
      <c r="D163" s="6">
        <v>61312.62</v>
      </c>
      <c r="E163" t="s">
        <v>1479</v>
      </c>
      <c r="F163" t="str">
        <f>IF(AND(tblSettlement[[#This Row],[TransactionID]]&lt;&gt;"", COUNTIF(tblTransactions[TransactionID],tblSettlement[[#This Row],[TransactionID]])=0), " R7 - Orphan Settlement", "")</f>
        <v/>
      </c>
    </row>
    <row r="164" spans="1:6" x14ac:dyDescent="0.3">
      <c r="A164" t="s">
        <v>1641</v>
      </c>
      <c r="B164" t="s">
        <v>556</v>
      </c>
      <c r="C164" s="2">
        <v>46252.707638888889</v>
      </c>
      <c r="D164" s="6">
        <v>7918.58</v>
      </c>
      <c r="E164" t="s">
        <v>1479</v>
      </c>
      <c r="F164" t="str">
        <f>IF(AND(tblSettlement[[#This Row],[TransactionID]]&lt;&gt;"", COUNTIF(tblTransactions[TransactionID],tblSettlement[[#This Row],[TransactionID]])=0), " R7 - Orphan Settlement", "")</f>
        <v/>
      </c>
    </row>
    <row r="165" spans="1:6" x14ac:dyDescent="0.3">
      <c r="A165" t="s">
        <v>1642</v>
      </c>
      <c r="B165" t="s">
        <v>559</v>
      </c>
      <c r="C165" s="2">
        <v>46240.664583333331</v>
      </c>
      <c r="D165" s="6">
        <v>38623.120000000003</v>
      </c>
      <c r="E165" t="s">
        <v>1479</v>
      </c>
      <c r="F165" t="str">
        <f>IF(AND(tblSettlement[[#This Row],[TransactionID]]&lt;&gt;"", COUNTIF(tblTransactions[TransactionID],tblSettlement[[#This Row],[TransactionID]])=0), " R7 - Orphan Settlement", "")</f>
        <v/>
      </c>
    </row>
    <row r="166" spans="1:6" x14ac:dyDescent="0.3">
      <c r="A166" t="s">
        <v>1643</v>
      </c>
      <c r="B166" t="s">
        <v>562</v>
      </c>
      <c r="C166" s="2">
        <v>46208.585416666669</v>
      </c>
      <c r="D166" s="6">
        <v>29984.93</v>
      </c>
      <c r="E166" t="s">
        <v>1479</v>
      </c>
      <c r="F166" t="str">
        <f>IF(AND(tblSettlement[[#This Row],[TransactionID]]&lt;&gt;"", COUNTIF(tblTransactions[TransactionID],tblSettlement[[#This Row],[TransactionID]])=0), " R7 - Orphan Settlement", "")</f>
        <v/>
      </c>
    </row>
    <row r="167" spans="1:6" x14ac:dyDescent="0.3">
      <c r="A167" t="s">
        <v>1644</v>
      </c>
      <c r="B167" t="s">
        <v>565</v>
      </c>
      <c r="C167" s="2">
        <v>46246.92083333333</v>
      </c>
      <c r="D167" s="6">
        <v>62978.43</v>
      </c>
      <c r="E167" t="s">
        <v>1479</v>
      </c>
      <c r="F167" t="str">
        <f>IF(AND(tblSettlement[[#This Row],[TransactionID]]&lt;&gt;"", COUNTIF(tblTransactions[TransactionID],tblSettlement[[#This Row],[TransactionID]])=0), " R7 - Orphan Settlement", "")</f>
        <v/>
      </c>
    </row>
    <row r="168" spans="1:6" x14ac:dyDescent="0.3">
      <c r="A168" t="s">
        <v>1645</v>
      </c>
      <c r="B168" t="s">
        <v>567</v>
      </c>
      <c r="C168" s="2">
        <v>46296.880555555559</v>
      </c>
      <c r="D168" s="6">
        <v>56973.38</v>
      </c>
      <c r="E168" t="s">
        <v>1479</v>
      </c>
      <c r="F168" t="str">
        <f>IF(AND(tblSettlement[[#This Row],[TransactionID]]&lt;&gt;"", COUNTIF(tblTransactions[TransactionID],tblSettlement[[#This Row],[TransactionID]])=0), " R7 - Orphan Settlement", "")</f>
        <v/>
      </c>
    </row>
    <row r="169" spans="1:6" x14ac:dyDescent="0.3">
      <c r="A169" t="s">
        <v>1646</v>
      </c>
      <c r="B169" t="s">
        <v>573</v>
      </c>
      <c r="C169" s="2">
        <v>46236.504861111112</v>
      </c>
      <c r="D169" s="6">
        <v>3819.27</v>
      </c>
      <c r="E169" t="s">
        <v>1479</v>
      </c>
      <c r="F169" t="str">
        <f>IF(AND(tblSettlement[[#This Row],[TransactionID]]&lt;&gt;"", COUNTIF(tblTransactions[TransactionID],tblSettlement[[#This Row],[TransactionID]])=0), " R7 - Orphan Settlement", "")</f>
        <v/>
      </c>
    </row>
    <row r="170" spans="1:6" x14ac:dyDescent="0.3">
      <c r="A170" t="s">
        <v>1647</v>
      </c>
      <c r="B170" t="s">
        <v>575</v>
      </c>
      <c r="C170" s="2">
        <v>46281.667361111111</v>
      </c>
      <c r="D170" s="6">
        <v>47488.63</v>
      </c>
      <c r="E170" t="s">
        <v>1479</v>
      </c>
      <c r="F170" t="str">
        <f>IF(AND(tblSettlement[[#This Row],[TransactionID]]&lt;&gt;"", COUNTIF(tblTransactions[TransactionID],tblSettlement[[#This Row],[TransactionID]])=0), " R7 - Orphan Settlement", "")</f>
        <v/>
      </c>
    </row>
    <row r="171" spans="1:6" x14ac:dyDescent="0.3">
      <c r="A171" t="s">
        <v>1648</v>
      </c>
      <c r="B171" t="s">
        <v>578</v>
      </c>
      <c r="C171" s="2">
        <v>46283.552083333336</v>
      </c>
      <c r="D171" s="6">
        <v>42907.11</v>
      </c>
      <c r="E171" t="s">
        <v>1479</v>
      </c>
      <c r="F171" t="str">
        <f>IF(AND(tblSettlement[[#This Row],[TransactionID]]&lt;&gt;"", COUNTIF(tblTransactions[TransactionID],tblSettlement[[#This Row],[TransactionID]])=0), " R7 - Orphan Settlement", "")</f>
        <v/>
      </c>
    </row>
    <row r="172" spans="1:6" x14ac:dyDescent="0.3">
      <c r="A172" t="s">
        <v>1649</v>
      </c>
      <c r="B172" t="s">
        <v>584</v>
      </c>
      <c r="C172" s="2">
        <v>46210.76666666667</v>
      </c>
      <c r="D172" s="6">
        <v>73582.7</v>
      </c>
      <c r="E172" t="s">
        <v>1479</v>
      </c>
      <c r="F172" t="str">
        <f>IF(AND(tblSettlement[[#This Row],[TransactionID]]&lt;&gt;"", COUNTIF(tblTransactions[TransactionID],tblSettlement[[#This Row],[TransactionID]])=0), " R7 - Orphan Settlement", "")</f>
        <v/>
      </c>
    </row>
    <row r="173" spans="1:6" x14ac:dyDescent="0.3">
      <c r="A173" t="s">
        <v>1650</v>
      </c>
      <c r="B173" t="s">
        <v>587</v>
      </c>
      <c r="C173" s="2">
        <v>46236.820833333331</v>
      </c>
      <c r="D173" s="6">
        <v>47212.21</v>
      </c>
      <c r="E173" t="s">
        <v>1479</v>
      </c>
      <c r="F173" t="str">
        <f>IF(AND(tblSettlement[[#This Row],[TransactionID]]&lt;&gt;"", COUNTIF(tblTransactions[TransactionID],tblSettlement[[#This Row],[TransactionID]])=0), " R7 - Orphan Settlement", "")</f>
        <v/>
      </c>
    </row>
    <row r="174" spans="1:6" x14ac:dyDescent="0.3">
      <c r="A174" t="s">
        <v>1651</v>
      </c>
      <c r="B174" t="s">
        <v>590</v>
      </c>
      <c r="C174" s="2">
        <v>46273.577777777777</v>
      </c>
      <c r="D174" s="6">
        <v>48298.97</v>
      </c>
      <c r="E174" t="s">
        <v>1479</v>
      </c>
      <c r="F174" t="str">
        <f>IF(AND(tblSettlement[[#This Row],[TransactionID]]&lt;&gt;"", COUNTIF(tblTransactions[TransactionID],tblSettlement[[#This Row],[TransactionID]])=0), " R7 - Orphan Settlement", "")</f>
        <v/>
      </c>
    </row>
    <row r="175" spans="1:6" x14ac:dyDescent="0.3">
      <c r="A175" t="s">
        <v>1652</v>
      </c>
      <c r="B175" t="s">
        <v>593</v>
      </c>
      <c r="C175" s="2">
        <v>46284.45208333333</v>
      </c>
      <c r="D175" s="6">
        <v>10330.23</v>
      </c>
      <c r="E175" t="s">
        <v>1479</v>
      </c>
      <c r="F175" t="str">
        <f>IF(AND(tblSettlement[[#This Row],[TransactionID]]&lt;&gt;"", COUNTIF(tblTransactions[TransactionID],tblSettlement[[#This Row],[TransactionID]])=0), " R7 - Orphan Settlement", "")</f>
        <v/>
      </c>
    </row>
    <row r="176" spans="1:6" x14ac:dyDescent="0.3">
      <c r="A176" t="s">
        <v>1653</v>
      </c>
      <c r="B176" t="s">
        <v>596</v>
      </c>
      <c r="C176" s="2">
        <v>46229.918055555558</v>
      </c>
      <c r="D176" s="6">
        <v>23840.79</v>
      </c>
      <c r="E176" t="s">
        <v>1479</v>
      </c>
      <c r="F176" t="str">
        <f>IF(AND(tblSettlement[[#This Row],[TransactionID]]&lt;&gt;"", COUNTIF(tblTransactions[TransactionID],tblSettlement[[#This Row],[TransactionID]])=0), " R7 - Orphan Settlement", "")</f>
        <v/>
      </c>
    </row>
    <row r="177" spans="1:6" x14ac:dyDescent="0.3">
      <c r="A177" t="s">
        <v>1654</v>
      </c>
      <c r="B177" t="s">
        <v>599</v>
      </c>
      <c r="C177" s="2">
        <v>46288.470833333333</v>
      </c>
      <c r="D177" s="6">
        <v>26933.82</v>
      </c>
      <c r="E177" t="s">
        <v>1479</v>
      </c>
      <c r="F177" t="str">
        <f>IF(AND(tblSettlement[[#This Row],[TransactionID]]&lt;&gt;"", COUNTIF(tblTransactions[TransactionID],tblSettlement[[#This Row],[TransactionID]])=0), " R7 - Orphan Settlement", "")</f>
        <v/>
      </c>
    </row>
    <row r="178" spans="1:6" x14ac:dyDescent="0.3">
      <c r="A178" t="s">
        <v>1655</v>
      </c>
      <c r="B178" t="s">
        <v>605</v>
      </c>
      <c r="C178" s="2">
        <v>46294.640972222223</v>
      </c>
      <c r="D178" s="6">
        <v>69342.210000000006</v>
      </c>
      <c r="E178" t="s">
        <v>1479</v>
      </c>
      <c r="F178" t="str">
        <f>IF(AND(tblSettlement[[#This Row],[TransactionID]]&lt;&gt;"", COUNTIF(tblTransactions[TransactionID],tblSettlement[[#This Row],[TransactionID]])=0), " R7 - Orphan Settlement", "")</f>
        <v/>
      </c>
    </row>
    <row r="179" spans="1:6" x14ac:dyDescent="0.3">
      <c r="A179" t="s">
        <v>1656</v>
      </c>
      <c r="B179" t="s">
        <v>607</v>
      </c>
      <c r="C179" s="2">
        <v>46275.513888888891</v>
      </c>
      <c r="D179" s="6">
        <v>7919.19</v>
      </c>
      <c r="E179" t="s">
        <v>1479</v>
      </c>
      <c r="F179" t="str">
        <f>IF(AND(tblSettlement[[#This Row],[TransactionID]]&lt;&gt;"", COUNTIF(tblTransactions[TransactionID],tblSettlement[[#This Row],[TransactionID]])=0), " R7 - Orphan Settlement", "")</f>
        <v/>
      </c>
    </row>
    <row r="180" spans="1:6" x14ac:dyDescent="0.3">
      <c r="A180" t="s">
        <v>1657</v>
      </c>
      <c r="B180" t="s">
        <v>610</v>
      </c>
      <c r="C180" s="2">
        <v>46226.811111111114</v>
      </c>
      <c r="D180" s="6">
        <v>26528.14</v>
      </c>
      <c r="E180" t="s">
        <v>1479</v>
      </c>
      <c r="F180" t="str">
        <f>IF(AND(tblSettlement[[#This Row],[TransactionID]]&lt;&gt;"", COUNTIF(tblTransactions[TransactionID],tblSettlement[[#This Row],[TransactionID]])=0), " R7 - Orphan Settlement", "")</f>
        <v/>
      </c>
    </row>
    <row r="181" spans="1:6" x14ac:dyDescent="0.3">
      <c r="A181" t="s">
        <v>1658</v>
      </c>
      <c r="B181" t="s">
        <v>613</v>
      </c>
      <c r="C181" s="2">
        <v>46288.835416666669</v>
      </c>
      <c r="D181" s="6">
        <v>5859.33</v>
      </c>
      <c r="E181" t="s">
        <v>1479</v>
      </c>
      <c r="F181" t="str">
        <f>IF(AND(tblSettlement[[#This Row],[TransactionID]]&lt;&gt;"", COUNTIF(tblTransactions[TransactionID],tblSettlement[[#This Row],[TransactionID]])=0), " R7 - Orphan Settlement", "")</f>
        <v/>
      </c>
    </row>
    <row r="182" spans="1:6" x14ac:dyDescent="0.3">
      <c r="A182" t="s">
        <v>1659</v>
      </c>
      <c r="B182" t="s">
        <v>615</v>
      </c>
      <c r="C182" s="2">
        <v>46209.45416666667</v>
      </c>
      <c r="D182" s="6">
        <v>45666.07</v>
      </c>
      <c r="E182" t="s">
        <v>1479</v>
      </c>
      <c r="F182" t="str">
        <f>IF(AND(tblSettlement[[#This Row],[TransactionID]]&lt;&gt;"", COUNTIF(tblTransactions[TransactionID],tblSettlement[[#This Row],[TransactionID]])=0), " R7 - Orphan Settlement", "")</f>
        <v/>
      </c>
    </row>
    <row r="183" spans="1:6" x14ac:dyDescent="0.3">
      <c r="A183" t="s">
        <v>1660</v>
      </c>
      <c r="B183" t="s">
        <v>617</v>
      </c>
      <c r="C183" s="2">
        <v>46251.60833333333</v>
      </c>
      <c r="D183" s="6">
        <v>2670.8</v>
      </c>
      <c r="E183" t="s">
        <v>1479</v>
      </c>
      <c r="F183" t="str">
        <f>IF(AND(tblSettlement[[#This Row],[TransactionID]]&lt;&gt;"", COUNTIF(tblTransactions[TransactionID],tblSettlement[[#This Row],[TransactionID]])=0), " R7 - Orphan Settlement", "")</f>
        <v/>
      </c>
    </row>
    <row r="184" spans="1:6" x14ac:dyDescent="0.3">
      <c r="A184" t="s">
        <v>1661</v>
      </c>
      <c r="B184" t="s">
        <v>620</v>
      </c>
      <c r="C184" s="2">
        <v>46280.439583333333</v>
      </c>
      <c r="D184" s="6">
        <v>27679.51</v>
      </c>
      <c r="E184" t="s">
        <v>1479</v>
      </c>
      <c r="F184" t="str">
        <f>IF(AND(tblSettlement[[#This Row],[TransactionID]]&lt;&gt;"", COUNTIF(tblTransactions[TransactionID],tblSettlement[[#This Row],[TransactionID]])=0), " R7 - Orphan Settlement", "")</f>
        <v/>
      </c>
    </row>
    <row r="185" spans="1:6" x14ac:dyDescent="0.3">
      <c r="A185" t="s">
        <v>1662</v>
      </c>
      <c r="B185" t="s">
        <v>623</v>
      </c>
      <c r="C185" s="2">
        <v>46230.647916666669</v>
      </c>
      <c r="D185" s="6">
        <v>29077.31</v>
      </c>
      <c r="E185" t="s">
        <v>1479</v>
      </c>
      <c r="F185" t="str">
        <f>IF(AND(tblSettlement[[#This Row],[TransactionID]]&lt;&gt;"", COUNTIF(tblTransactions[TransactionID],tblSettlement[[#This Row],[TransactionID]])=0), " R7 - Orphan Settlement", "")</f>
        <v/>
      </c>
    </row>
    <row r="186" spans="1:6" x14ac:dyDescent="0.3">
      <c r="A186" t="s">
        <v>1663</v>
      </c>
      <c r="B186" t="s">
        <v>626</v>
      </c>
      <c r="C186" s="2">
        <v>46284.530555555553</v>
      </c>
      <c r="D186" s="6">
        <v>68756.800000000003</v>
      </c>
      <c r="E186" t="s">
        <v>1479</v>
      </c>
      <c r="F186" t="str">
        <f>IF(AND(tblSettlement[[#This Row],[TransactionID]]&lt;&gt;"", COUNTIF(tblTransactions[TransactionID],tblSettlement[[#This Row],[TransactionID]])=0), " R7 - Orphan Settlement", "")</f>
        <v/>
      </c>
    </row>
    <row r="187" spans="1:6" x14ac:dyDescent="0.3">
      <c r="A187" t="s">
        <v>1664</v>
      </c>
      <c r="B187" t="s">
        <v>629</v>
      </c>
      <c r="C187" s="2">
        <v>46228.947916666664</v>
      </c>
      <c r="D187" s="6">
        <v>33522.06</v>
      </c>
      <c r="E187" t="s">
        <v>1479</v>
      </c>
      <c r="F187" t="str">
        <f>IF(AND(tblSettlement[[#This Row],[TransactionID]]&lt;&gt;"", COUNTIF(tblTransactions[TransactionID],tblSettlement[[#This Row],[TransactionID]])=0), " R7 - Orphan Settlement", "")</f>
        <v/>
      </c>
    </row>
    <row r="188" spans="1:6" x14ac:dyDescent="0.3">
      <c r="A188" t="s">
        <v>1665</v>
      </c>
      <c r="B188" t="s">
        <v>632</v>
      </c>
      <c r="C188" s="2">
        <v>46276.679166666669</v>
      </c>
      <c r="D188" s="6">
        <v>66877.039999999994</v>
      </c>
      <c r="E188" t="s">
        <v>1479</v>
      </c>
      <c r="F188" t="str">
        <f>IF(AND(tblSettlement[[#This Row],[TransactionID]]&lt;&gt;"", COUNTIF(tblTransactions[TransactionID],tblSettlement[[#This Row],[TransactionID]])=0), " R7 - Orphan Settlement", "")</f>
        <v/>
      </c>
    </row>
    <row r="189" spans="1:6" x14ac:dyDescent="0.3">
      <c r="A189" t="s">
        <v>1666</v>
      </c>
      <c r="B189" t="s">
        <v>635</v>
      </c>
      <c r="C189" s="2">
        <v>46235.383333333331</v>
      </c>
      <c r="D189" s="6">
        <v>59456.91</v>
      </c>
      <c r="E189" t="s">
        <v>1479</v>
      </c>
      <c r="F189" t="str">
        <f>IF(AND(tblSettlement[[#This Row],[TransactionID]]&lt;&gt;"", COUNTIF(tblTransactions[TransactionID],tblSettlement[[#This Row],[TransactionID]])=0), " R7 - Orphan Settlement", "")</f>
        <v/>
      </c>
    </row>
    <row r="190" spans="1:6" x14ac:dyDescent="0.3">
      <c r="A190" t="s">
        <v>1667</v>
      </c>
      <c r="B190" t="s">
        <v>641</v>
      </c>
      <c r="C190" s="2">
        <v>46274.617361111108</v>
      </c>
      <c r="D190" s="6">
        <v>30855.16</v>
      </c>
      <c r="E190" t="s">
        <v>1479</v>
      </c>
      <c r="F190" t="str">
        <f>IF(AND(tblSettlement[[#This Row],[TransactionID]]&lt;&gt;"", COUNTIF(tblTransactions[TransactionID],tblSettlement[[#This Row],[TransactionID]])=0), " R7 - Orphan Settlement", "")</f>
        <v/>
      </c>
    </row>
    <row r="191" spans="1:6" x14ac:dyDescent="0.3">
      <c r="A191" t="s">
        <v>1668</v>
      </c>
      <c r="B191" t="s">
        <v>644</v>
      </c>
      <c r="C191" s="2">
        <v>46264.772916666669</v>
      </c>
      <c r="D191" s="6">
        <v>26002.48</v>
      </c>
      <c r="E191" t="s">
        <v>1479</v>
      </c>
      <c r="F191" t="str">
        <f>IF(AND(tblSettlement[[#This Row],[TransactionID]]&lt;&gt;"", COUNTIF(tblTransactions[TransactionID],tblSettlement[[#This Row],[TransactionID]])=0), " R7 - Orphan Settlement", "")</f>
        <v/>
      </c>
    </row>
    <row r="192" spans="1:6" x14ac:dyDescent="0.3">
      <c r="A192" t="s">
        <v>1669</v>
      </c>
      <c r="B192" t="s">
        <v>647</v>
      </c>
      <c r="C192" s="2">
        <v>46259.706944444442</v>
      </c>
      <c r="D192" s="6">
        <v>65148.82</v>
      </c>
      <c r="E192" t="s">
        <v>1479</v>
      </c>
      <c r="F192" t="str">
        <f>IF(AND(tblSettlement[[#This Row],[TransactionID]]&lt;&gt;"", COUNTIF(tblTransactions[TransactionID],tblSettlement[[#This Row],[TransactionID]])=0), " R7 - Orphan Settlement", "")</f>
        <v/>
      </c>
    </row>
    <row r="193" spans="1:6" x14ac:dyDescent="0.3">
      <c r="A193" t="s">
        <v>1670</v>
      </c>
      <c r="B193" t="s">
        <v>653</v>
      </c>
      <c r="C193" s="2">
        <v>46232.774305555555</v>
      </c>
      <c r="D193" s="6">
        <v>20765.21</v>
      </c>
      <c r="E193" t="s">
        <v>1479</v>
      </c>
      <c r="F193" t="str">
        <f>IF(AND(tblSettlement[[#This Row],[TransactionID]]&lt;&gt;"", COUNTIF(tblTransactions[TransactionID],tblSettlement[[#This Row],[TransactionID]])=0), " R7 - Orphan Settlement", "")</f>
        <v/>
      </c>
    </row>
    <row r="194" spans="1:6" x14ac:dyDescent="0.3">
      <c r="A194" t="s">
        <v>1671</v>
      </c>
      <c r="B194" t="s">
        <v>656</v>
      </c>
      <c r="C194" s="2">
        <v>46280.714583333334</v>
      </c>
      <c r="D194" s="6">
        <v>13047.25</v>
      </c>
      <c r="E194" t="s">
        <v>1479</v>
      </c>
      <c r="F194" t="str">
        <f>IF(AND(tblSettlement[[#This Row],[TransactionID]]&lt;&gt;"", COUNTIF(tblTransactions[TransactionID],tblSettlement[[#This Row],[TransactionID]])=0), " R7 - Orphan Settlement", "")</f>
        <v/>
      </c>
    </row>
    <row r="195" spans="1:6" x14ac:dyDescent="0.3">
      <c r="A195" t="s">
        <v>1672</v>
      </c>
      <c r="B195" t="s">
        <v>659</v>
      </c>
      <c r="C195" s="2">
        <v>46210.376388888886</v>
      </c>
      <c r="D195" s="6">
        <v>71403.88</v>
      </c>
      <c r="E195" t="s">
        <v>1479</v>
      </c>
      <c r="F195" t="str">
        <f>IF(AND(tblSettlement[[#This Row],[TransactionID]]&lt;&gt;"", COUNTIF(tblTransactions[TransactionID],tblSettlement[[#This Row],[TransactionID]])=0), " R7 - Orphan Settlement", "")</f>
        <v/>
      </c>
    </row>
    <row r="196" spans="1:6" x14ac:dyDescent="0.3">
      <c r="A196" t="s">
        <v>1673</v>
      </c>
      <c r="B196" t="s">
        <v>662</v>
      </c>
      <c r="C196" s="2">
        <v>46285.750694444447</v>
      </c>
      <c r="D196" s="6">
        <v>37478.339999999997</v>
      </c>
      <c r="E196" t="s">
        <v>1479</v>
      </c>
      <c r="F196" t="str">
        <f>IF(AND(tblSettlement[[#This Row],[TransactionID]]&lt;&gt;"", COUNTIF(tblTransactions[TransactionID],tblSettlement[[#This Row],[TransactionID]])=0), " R7 - Orphan Settlement", "")</f>
        <v/>
      </c>
    </row>
    <row r="197" spans="1:6" x14ac:dyDescent="0.3">
      <c r="A197" t="s">
        <v>1674</v>
      </c>
      <c r="B197" t="s">
        <v>665</v>
      </c>
      <c r="C197" s="2">
        <v>46242.62777777778</v>
      </c>
      <c r="D197" s="6">
        <v>51723.86</v>
      </c>
      <c r="E197" t="s">
        <v>1479</v>
      </c>
      <c r="F197" t="str">
        <f>IF(AND(tblSettlement[[#This Row],[TransactionID]]&lt;&gt;"", COUNTIF(tblTransactions[TransactionID],tblSettlement[[#This Row],[TransactionID]])=0), " R7 - Orphan Settlement", "")</f>
        <v/>
      </c>
    </row>
    <row r="198" spans="1:6" x14ac:dyDescent="0.3">
      <c r="A198" t="s">
        <v>1675</v>
      </c>
      <c r="B198" t="s">
        <v>668</v>
      </c>
      <c r="C198" s="2">
        <v>46281.430555555555</v>
      </c>
      <c r="D198" s="6">
        <v>64646.01</v>
      </c>
      <c r="E198" t="s">
        <v>1479</v>
      </c>
      <c r="F198" t="str">
        <f>IF(AND(tblSettlement[[#This Row],[TransactionID]]&lt;&gt;"", COUNTIF(tblTransactions[TransactionID],tblSettlement[[#This Row],[TransactionID]])=0), " R7 - Orphan Settlement", "")</f>
        <v/>
      </c>
    </row>
    <row r="199" spans="1:6" x14ac:dyDescent="0.3">
      <c r="A199" t="s">
        <v>1676</v>
      </c>
      <c r="B199" t="s">
        <v>671</v>
      </c>
      <c r="C199" s="2">
        <v>46269.67083333333</v>
      </c>
      <c r="D199" s="6">
        <v>24103.91</v>
      </c>
      <c r="E199" t="s">
        <v>1479</v>
      </c>
      <c r="F199" t="str">
        <f>IF(AND(tblSettlement[[#This Row],[TransactionID]]&lt;&gt;"", COUNTIF(tblTransactions[TransactionID],tblSettlement[[#This Row],[TransactionID]])=0), " R7 - Orphan Settlement", "")</f>
        <v/>
      </c>
    </row>
    <row r="200" spans="1:6" x14ac:dyDescent="0.3">
      <c r="A200" t="s">
        <v>1677</v>
      </c>
      <c r="B200" t="s">
        <v>674</v>
      </c>
      <c r="C200" s="2">
        <v>46212.51666666667</v>
      </c>
      <c r="D200" s="6">
        <v>64846.25</v>
      </c>
      <c r="E200" t="s">
        <v>1479</v>
      </c>
      <c r="F200" t="str">
        <f>IF(AND(tblSettlement[[#This Row],[TransactionID]]&lt;&gt;"", COUNTIF(tblTransactions[TransactionID],tblSettlement[[#This Row],[TransactionID]])=0), " R7 - Orphan Settlement", "")</f>
        <v/>
      </c>
    </row>
    <row r="201" spans="1:6" x14ac:dyDescent="0.3">
      <c r="A201" t="s">
        <v>1678</v>
      </c>
      <c r="B201" t="s">
        <v>677</v>
      </c>
      <c r="C201" s="2">
        <v>46230.840277777781</v>
      </c>
      <c r="D201" s="6">
        <v>37495.35</v>
      </c>
      <c r="E201" t="s">
        <v>1479</v>
      </c>
      <c r="F201" t="str">
        <f>IF(AND(tblSettlement[[#This Row],[TransactionID]]&lt;&gt;"", COUNTIF(tblTransactions[TransactionID],tblSettlement[[#This Row],[TransactionID]])=0), " R7 - Orphan Settlement", "")</f>
        <v/>
      </c>
    </row>
    <row r="202" spans="1:6" x14ac:dyDescent="0.3">
      <c r="A202" t="s">
        <v>1679</v>
      </c>
      <c r="B202" t="s">
        <v>680</v>
      </c>
      <c r="C202" s="2">
        <v>46256.686805555553</v>
      </c>
      <c r="D202" s="6">
        <v>72509.83</v>
      </c>
      <c r="E202" t="s">
        <v>1479</v>
      </c>
      <c r="F202" t="str">
        <f>IF(AND(tblSettlement[[#This Row],[TransactionID]]&lt;&gt;"", COUNTIF(tblTransactions[TransactionID],tblSettlement[[#This Row],[TransactionID]])=0), " R7 - Orphan Settlement", "")</f>
        <v/>
      </c>
    </row>
    <row r="203" spans="1:6" x14ac:dyDescent="0.3">
      <c r="A203" t="s">
        <v>1680</v>
      </c>
      <c r="B203" t="s">
        <v>682</v>
      </c>
      <c r="C203" s="2">
        <v>46281.953472222223</v>
      </c>
      <c r="D203" s="6">
        <v>49155.94</v>
      </c>
      <c r="E203" t="s">
        <v>1479</v>
      </c>
      <c r="F203" t="str">
        <f>IF(AND(tblSettlement[[#This Row],[TransactionID]]&lt;&gt;"", COUNTIF(tblTransactions[TransactionID],tblSettlement[[#This Row],[TransactionID]])=0), " R7 - Orphan Settlement", "")</f>
        <v/>
      </c>
    </row>
    <row r="204" spans="1:6" x14ac:dyDescent="0.3">
      <c r="A204" t="s">
        <v>1681</v>
      </c>
      <c r="B204" t="s">
        <v>685</v>
      </c>
      <c r="C204" s="2">
        <v>46222.927777777775</v>
      </c>
      <c r="D204" s="6">
        <v>54631.23</v>
      </c>
      <c r="E204" t="s">
        <v>1479</v>
      </c>
      <c r="F204" t="str">
        <f>IF(AND(tblSettlement[[#This Row],[TransactionID]]&lt;&gt;"", COUNTIF(tblTransactions[TransactionID],tblSettlement[[#This Row],[TransactionID]])=0), " R7 - Orphan Settlement", "")</f>
        <v/>
      </c>
    </row>
    <row r="205" spans="1:6" x14ac:dyDescent="0.3">
      <c r="A205" t="s">
        <v>1682</v>
      </c>
      <c r="B205" t="s">
        <v>688</v>
      </c>
      <c r="C205" s="2">
        <v>46252.679166666669</v>
      </c>
      <c r="D205" s="6">
        <v>5746.5</v>
      </c>
      <c r="E205" t="s">
        <v>1479</v>
      </c>
      <c r="F205" t="str">
        <f>IF(AND(tblSettlement[[#This Row],[TransactionID]]&lt;&gt;"", COUNTIF(tblTransactions[TransactionID],tblSettlement[[#This Row],[TransactionID]])=0), " R7 - Orphan Settlement", "")</f>
        <v/>
      </c>
    </row>
    <row r="206" spans="1:6" x14ac:dyDescent="0.3">
      <c r="A206" t="s">
        <v>1683</v>
      </c>
      <c r="B206" t="s">
        <v>694</v>
      </c>
      <c r="C206" s="2">
        <v>46284.684027777781</v>
      </c>
      <c r="D206" s="6">
        <v>37630.82</v>
      </c>
      <c r="E206" t="s">
        <v>1479</v>
      </c>
      <c r="F206" t="str">
        <f>IF(AND(tblSettlement[[#This Row],[TransactionID]]&lt;&gt;"", COUNTIF(tblTransactions[TransactionID],tblSettlement[[#This Row],[TransactionID]])=0), " R7 - Orphan Settlement", "")</f>
        <v/>
      </c>
    </row>
    <row r="207" spans="1:6" x14ac:dyDescent="0.3">
      <c r="A207" t="s">
        <v>1684</v>
      </c>
      <c r="B207" t="s">
        <v>697</v>
      </c>
      <c r="C207" s="2">
        <v>46264.443055555559</v>
      </c>
      <c r="D207" s="6">
        <v>67011.59</v>
      </c>
      <c r="E207" t="s">
        <v>1479</v>
      </c>
      <c r="F207" t="str">
        <f>IF(AND(tblSettlement[[#This Row],[TransactionID]]&lt;&gt;"", COUNTIF(tblTransactions[TransactionID],tblSettlement[[#This Row],[TransactionID]])=0), " R7 - Orphan Settlement", "")</f>
        <v/>
      </c>
    </row>
    <row r="208" spans="1:6" x14ac:dyDescent="0.3">
      <c r="A208" t="s">
        <v>1685</v>
      </c>
      <c r="B208" t="s">
        <v>700</v>
      </c>
      <c r="C208" s="2">
        <v>46280.563888888886</v>
      </c>
      <c r="D208" s="6">
        <v>62164.63</v>
      </c>
      <c r="E208" t="s">
        <v>1479</v>
      </c>
      <c r="F208" t="str">
        <f>IF(AND(tblSettlement[[#This Row],[TransactionID]]&lt;&gt;"", COUNTIF(tblTransactions[TransactionID],tblSettlement[[#This Row],[TransactionID]])=0), " R7 - Orphan Settlement", "")</f>
        <v/>
      </c>
    </row>
    <row r="209" spans="1:6" x14ac:dyDescent="0.3">
      <c r="A209" t="s">
        <v>1686</v>
      </c>
      <c r="B209" t="s">
        <v>703</v>
      </c>
      <c r="C209" s="2">
        <v>46254.571527777778</v>
      </c>
      <c r="D209" s="6">
        <v>8442.94</v>
      </c>
      <c r="E209" t="s">
        <v>1479</v>
      </c>
      <c r="F209" t="str">
        <f>IF(AND(tblSettlement[[#This Row],[TransactionID]]&lt;&gt;"", COUNTIF(tblTransactions[TransactionID],tblSettlement[[#This Row],[TransactionID]])=0), " R7 - Orphan Settlement", "")</f>
        <v/>
      </c>
    </row>
    <row r="210" spans="1:6" x14ac:dyDescent="0.3">
      <c r="A210" t="s">
        <v>1687</v>
      </c>
      <c r="B210" t="s">
        <v>706</v>
      </c>
      <c r="C210" s="2">
        <v>46287.867361111108</v>
      </c>
      <c r="D210" s="6">
        <v>43490.96</v>
      </c>
      <c r="E210" t="s">
        <v>1479</v>
      </c>
      <c r="F210" t="str">
        <f>IF(AND(tblSettlement[[#This Row],[TransactionID]]&lt;&gt;"", COUNTIF(tblTransactions[TransactionID],tblSettlement[[#This Row],[TransactionID]])=0), " R7 - Orphan Settlement", "")</f>
        <v/>
      </c>
    </row>
    <row r="211" spans="1:6" x14ac:dyDescent="0.3">
      <c r="A211" t="s">
        <v>1688</v>
      </c>
      <c r="B211" t="s">
        <v>709</v>
      </c>
      <c r="C211" s="2">
        <v>46286.818749999999</v>
      </c>
      <c r="D211" s="6">
        <v>58151.81</v>
      </c>
      <c r="E211" t="s">
        <v>1479</v>
      </c>
      <c r="F211" t="str">
        <f>IF(AND(tblSettlement[[#This Row],[TransactionID]]&lt;&gt;"", COUNTIF(tblTransactions[TransactionID],tblSettlement[[#This Row],[TransactionID]])=0), " R7 - Orphan Settlement", "")</f>
        <v/>
      </c>
    </row>
    <row r="212" spans="1:6" x14ac:dyDescent="0.3">
      <c r="A212" t="s">
        <v>1689</v>
      </c>
      <c r="B212" t="s">
        <v>711</v>
      </c>
      <c r="C212" s="2">
        <v>46230.352777777778</v>
      </c>
      <c r="D212" s="6">
        <v>23698.51</v>
      </c>
      <c r="E212" t="s">
        <v>1479</v>
      </c>
      <c r="F212" t="str">
        <f>IF(AND(tblSettlement[[#This Row],[TransactionID]]&lt;&gt;"", COUNTIF(tblTransactions[TransactionID],tblSettlement[[#This Row],[TransactionID]])=0), " R7 - Orphan Settlement", "")</f>
        <v/>
      </c>
    </row>
    <row r="213" spans="1:6" x14ac:dyDescent="0.3">
      <c r="A213" t="s">
        <v>1690</v>
      </c>
      <c r="B213" t="s">
        <v>714</v>
      </c>
      <c r="C213" s="2">
        <v>46214.797222222223</v>
      </c>
      <c r="D213" s="6">
        <v>39021.57</v>
      </c>
      <c r="E213" t="s">
        <v>1479</v>
      </c>
      <c r="F213" t="str">
        <f>IF(AND(tblSettlement[[#This Row],[TransactionID]]&lt;&gt;"", COUNTIF(tblTransactions[TransactionID],tblSettlement[[#This Row],[TransactionID]])=0), " R7 - Orphan Settlement", "")</f>
        <v/>
      </c>
    </row>
    <row r="214" spans="1:6" x14ac:dyDescent="0.3">
      <c r="A214" t="s">
        <v>1691</v>
      </c>
      <c r="B214" t="s">
        <v>717</v>
      </c>
      <c r="C214" s="2">
        <v>46229.665277777778</v>
      </c>
      <c r="D214" s="6">
        <v>40101.25</v>
      </c>
      <c r="E214" t="s">
        <v>1479</v>
      </c>
      <c r="F214" t="str">
        <f>IF(AND(tblSettlement[[#This Row],[TransactionID]]&lt;&gt;"", COUNTIF(tblTransactions[TransactionID],tblSettlement[[#This Row],[TransactionID]])=0), " R7 - Orphan Settlement", "")</f>
        <v/>
      </c>
    </row>
    <row r="215" spans="1:6" x14ac:dyDescent="0.3">
      <c r="A215" t="s">
        <v>1692</v>
      </c>
      <c r="B215" t="s">
        <v>728</v>
      </c>
      <c r="C215" s="2">
        <v>46248.936111111114</v>
      </c>
      <c r="D215" s="6">
        <v>49283.91</v>
      </c>
      <c r="E215" t="s">
        <v>1479</v>
      </c>
      <c r="F215" t="str">
        <f>IF(AND(tblSettlement[[#This Row],[TransactionID]]&lt;&gt;"", COUNTIF(tblTransactions[TransactionID],tblSettlement[[#This Row],[TransactionID]])=0), " R7 - Orphan Settlement", "")</f>
        <v/>
      </c>
    </row>
    <row r="216" spans="1:6" x14ac:dyDescent="0.3">
      <c r="A216" t="s">
        <v>1693</v>
      </c>
      <c r="B216" t="s">
        <v>731</v>
      </c>
      <c r="C216" s="2">
        <v>46277.803472222222</v>
      </c>
      <c r="D216" s="6">
        <v>10511.15</v>
      </c>
      <c r="E216" t="s">
        <v>1479</v>
      </c>
      <c r="F216" t="str">
        <f>IF(AND(tblSettlement[[#This Row],[TransactionID]]&lt;&gt;"", COUNTIF(tblTransactions[TransactionID],tblSettlement[[#This Row],[TransactionID]])=0), " R7 - Orphan Settlement", "")</f>
        <v/>
      </c>
    </row>
    <row r="217" spans="1:6" x14ac:dyDescent="0.3">
      <c r="A217" t="s">
        <v>1694</v>
      </c>
      <c r="B217" t="s">
        <v>734</v>
      </c>
      <c r="C217" s="2">
        <v>46232.759722222225</v>
      </c>
      <c r="D217" s="6">
        <v>4173.71</v>
      </c>
      <c r="E217" t="s">
        <v>1479</v>
      </c>
      <c r="F217" t="str">
        <f>IF(AND(tblSettlement[[#This Row],[TransactionID]]&lt;&gt;"", COUNTIF(tblTransactions[TransactionID],tblSettlement[[#This Row],[TransactionID]])=0), " R7 - Orphan Settlement", "")</f>
        <v/>
      </c>
    </row>
    <row r="218" spans="1:6" x14ac:dyDescent="0.3">
      <c r="A218" t="s">
        <v>1695</v>
      </c>
      <c r="B218" t="s">
        <v>737</v>
      </c>
      <c r="C218" s="2">
        <v>46204.707638888889</v>
      </c>
      <c r="D218" s="6">
        <v>12056.1</v>
      </c>
      <c r="E218" t="s">
        <v>1479</v>
      </c>
      <c r="F218" t="str">
        <f>IF(AND(tblSettlement[[#This Row],[TransactionID]]&lt;&gt;"", COUNTIF(tblTransactions[TransactionID],tblSettlement[[#This Row],[TransactionID]])=0), " R7 - Orphan Settlement", "")</f>
        <v/>
      </c>
    </row>
    <row r="219" spans="1:6" x14ac:dyDescent="0.3">
      <c r="A219" t="s">
        <v>1696</v>
      </c>
      <c r="B219" t="s">
        <v>740</v>
      </c>
      <c r="C219" s="2">
        <v>46245.52847222222</v>
      </c>
      <c r="D219" s="6">
        <v>4672.3999999999996</v>
      </c>
      <c r="E219" t="s">
        <v>1479</v>
      </c>
      <c r="F219" t="str">
        <f>IF(AND(tblSettlement[[#This Row],[TransactionID]]&lt;&gt;"", COUNTIF(tblTransactions[TransactionID],tblSettlement[[#This Row],[TransactionID]])=0), " R7 - Orphan Settlement", "")</f>
        <v/>
      </c>
    </row>
    <row r="220" spans="1:6" x14ac:dyDescent="0.3">
      <c r="A220" t="s">
        <v>1697</v>
      </c>
      <c r="B220" t="s">
        <v>746</v>
      </c>
      <c r="C220" s="2">
        <v>46241.918055555558</v>
      </c>
      <c r="D220" s="6">
        <v>942.72</v>
      </c>
      <c r="E220" t="s">
        <v>1479</v>
      </c>
      <c r="F220" t="str">
        <f>IF(AND(tblSettlement[[#This Row],[TransactionID]]&lt;&gt;"", COUNTIF(tblTransactions[TransactionID],tblSettlement[[#This Row],[TransactionID]])=0), " R7 - Orphan Settlement", "")</f>
        <v/>
      </c>
    </row>
    <row r="221" spans="1:6" x14ac:dyDescent="0.3">
      <c r="A221" t="s">
        <v>1698</v>
      </c>
      <c r="B221" t="s">
        <v>749</v>
      </c>
      <c r="C221" s="2">
        <v>46271.663888888892</v>
      </c>
      <c r="D221" s="6">
        <v>70407.399999999994</v>
      </c>
      <c r="E221" t="s">
        <v>1479</v>
      </c>
      <c r="F221" t="str">
        <f>IF(AND(tblSettlement[[#This Row],[TransactionID]]&lt;&gt;"", COUNTIF(tblTransactions[TransactionID],tblSettlement[[#This Row],[TransactionID]])=0), " R7 - Orphan Settlement", "")</f>
        <v/>
      </c>
    </row>
    <row r="222" spans="1:6" x14ac:dyDescent="0.3">
      <c r="A222" t="s">
        <v>1699</v>
      </c>
      <c r="B222" t="s">
        <v>752</v>
      </c>
      <c r="C222" s="2">
        <v>46248.448611111111</v>
      </c>
      <c r="D222" s="6">
        <v>34553.86</v>
      </c>
      <c r="E222" t="s">
        <v>1479</v>
      </c>
      <c r="F222" t="str">
        <f>IF(AND(tblSettlement[[#This Row],[TransactionID]]&lt;&gt;"", COUNTIF(tblTransactions[TransactionID],tblSettlement[[#This Row],[TransactionID]])=0), " R7 - Orphan Settlement", "")</f>
        <v/>
      </c>
    </row>
    <row r="223" spans="1:6" x14ac:dyDescent="0.3">
      <c r="A223" t="s">
        <v>1700</v>
      </c>
      <c r="B223" t="s">
        <v>755</v>
      </c>
      <c r="C223" s="2">
        <v>46279.783333333333</v>
      </c>
      <c r="D223" s="6">
        <v>14688.81</v>
      </c>
      <c r="E223" t="s">
        <v>1479</v>
      </c>
      <c r="F223" t="str">
        <f>IF(AND(tblSettlement[[#This Row],[TransactionID]]&lt;&gt;"", COUNTIF(tblTransactions[TransactionID],tblSettlement[[#This Row],[TransactionID]])=0), " R7 - Orphan Settlement", "")</f>
        <v/>
      </c>
    </row>
    <row r="224" spans="1:6" x14ac:dyDescent="0.3">
      <c r="A224" t="s">
        <v>1701</v>
      </c>
      <c r="B224" t="s">
        <v>758</v>
      </c>
      <c r="C224" s="2">
        <v>46246.392361111109</v>
      </c>
      <c r="D224" s="6">
        <v>50276.88</v>
      </c>
      <c r="E224" t="s">
        <v>1479</v>
      </c>
      <c r="F224" t="str">
        <f>IF(AND(tblSettlement[[#This Row],[TransactionID]]&lt;&gt;"", COUNTIF(tblTransactions[TransactionID],tblSettlement[[#This Row],[TransactionID]])=0), " R7 - Orphan Settlement", "")</f>
        <v/>
      </c>
    </row>
    <row r="225" spans="1:6" x14ac:dyDescent="0.3">
      <c r="A225" t="s">
        <v>1702</v>
      </c>
      <c r="B225" t="s">
        <v>761</v>
      </c>
      <c r="C225" s="2">
        <v>46206.51666666667</v>
      </c>
      <c r="D225" s="6">
        <v>17855.21</v>
      </c>
      <c r="E225" t="s">
        <v>1479</v>
      </c>
      <c r="F225" t="str">
        <f>IF(AND(tblSettlement[[#This Row],[TransactionID]]&lt;&gt;"", COUNTIF(tblTransactions[TransactionID],tblSettlement[[#This Row],[TransactionID]])=0), " R7 - Orphan Settlement", "")</f>
        <v/>
      </c>
    </row>
    <row r="226" spans="1:6" x14ac:dyDescent="0.3">
      <c r="A226" t="s">
        <v>1703</v>
      </c>
      <c r="B226" t="s">
        <v>764</v>
      </c>
      <c r="C226" s="2">
        <v>46239.765972222223</v>
      </c>
      <c r="D226" s="6">
        <v>52034.45</v>
      </c>
      <c r="E226" t="s">
        <v>1479</v>
      </c>
      <c r="F226" t="str">
        <f>IF(AND(tblSettlement[[#This Row],[TransactionID]]&lt;&gt;"", COUNTIF(tblTransactions[TransactionID],tblSettlement[[#This Row],[TransactionID]])=0), " R7 - Orphan Settlement", "")</f>
        <v/>
      </c>
    </row>
    <row r="227" spans="1:6" x14ac:dyDescent="0.3">
      <c r="A227" t="s">
        <v>1704</v>
      </c>
      <c r="B227" t="s">
        <v>767</v>
      </c>
      <c r="C227" s="2">
        <v>46292.707638888889</v>
      </c>
      <c r="D227" s="6">
        <v>67160.100000000006</v>
      </c>
      <c r="E227" t="s">
        <v>1479</v>
      </c>
      <c r="F227" t="str">
        <f>IF(AND(tblSettlement[[#This Row],[TransactionID]]&lt;&gt;"", COUNTIF(tblTransactions[TransactionID],tblSettlement[[#This Row],[TransactionID]])=0), " R7 - Orphan Settlement", "")</f>
        <v/>
      </c>
    </row>
    <row r="228" spans="1:6" x14ac:dyDescent="0.3">
      <c r="A228" t="s">
        <v>1705</v>
      </c>
      <c r="B228" t="s">
        <v>769</v>
      </c>
      <c r="C228" s="2">
        <v>46254.718055555553</v>
      </c>
      <c r="D228" s="6">
        <v>16629.86</v>
      </c>
      <c r="E228" t="s">
        <v>1479</v>
      </c>
      <c r="F228" t="str">
        <f>IF(AND(tblSettlement[[#This Row],[TransactionID]]&lt;&gt;"", COUNTIF(tblTransactions[TransactionID],tblSettlement[[#This Row],[TransactionID]])=0), " R7 - Orphan Settlement", "")</f>
        <v/>
      </c>
    </row>
    <row r="229" spans="1:6" x14ac:dyDescent="0.3">
      <c r="A229" t="s">
        <v>1706</v>
      </c>
      <c r="B229" t="s">
        <v>772</v>
      </c>
      <c r="C229" s="2">
        <v>46259.815972222219</v>
      </c>
      <c r="D229" s="6">
        <v>68481.570000000007</v>
      </c>
      <c r="E229" t="s">
        <v>1479</v>
      </c>
      <c r="F229" t="str">
        <f>IF(AND(tblSettlement[[#This Row],[TransactionID]]&lt;&gt;"", COUNTIF(tblTransactions[TransactionID],tblSettlement[[#This Row],[TransactionID]])=0), " R7 - Orphan Settlement", "")</f>
        <v/>
      </c>
    </row>
    <row r="230" spans="1:6" x14ac:dyDescent="0.3">
      <c r="A230" t="s">
        <v>1707</v>
      </c>
      <c r="B230" t="s">
        <v>775</v>
      </c>
      <c r="C230" s="2">
        <v>46272.647916666669</v>
      </c>
      <c r="D230" s="6">
        <v>52856.52</v>
      </c>
      <c r="E230" t="s">
        <v>1479</v>
      </c>
      <c r="F230" t="str">
        <f>IF(AND(tblSettlement[[#This Row],[TransactionID]]&lt;&gt;"", COUNTIF(tblTransactions[TransactionID],tblSettlement[[#This Row],[TransactionID]])=0), " R7 - Orphan Settlement", "")</f>
        <v/>
      </c>
    </row>
    <row r="231" spans="1:6" x14ac:dyDescent="0.3">
      <c r="A231" t="s">
        <v>1708</v>
      </c>
      <c r="B231" t="s">
        <v>777</v>
      </c>
      <c r="C231" s="2">
        <v>46270.48333333333</v>
      </c>
      <c r="D231" s="6">
        <v>40365.35</v>
      </c>
      <c r="E231" t="s">
        <v>1479</v>
      </c>
      <c r="F231" t="str">
        <f>IF(AND(tblSettlement[[#This Row],[TransactionID]]&lt;&gt;"", COUNTIF(tblTransactions[TransactionID],tblSettlement[[#This Row],[TransactionID]])=0), " R7 - Orphan Settlement", "")</f>
        <v/>
      </c>
    </row>
    <row r="232" spans="1:6" x14ac:dyDescent="0.3">
      <c r="A232" t="s">
        <v>1709</v>
      </c>
      <c r="B232" t="s">
        <v>780</v>
      </c>
      <c r="C232" s="2">
        <v>46295.729861111111</v>
      </c>
      <c r="D232" s="6">
        <v>7047.89</v>
      </c>
      <c r="E232" t="s">
        <v>1479</v>
      </c>
      <c r="F232" t="str">
        <f>IF(AND(tblSettlement[[#This Row],[TransactionID]]&lt;&gt;"", COUNTIF(tblTransactions[TransactionID],tblSettlement[[#This Row],[TransactionID]])=0), " R7 - Orphan Settlement", "")</f>
        <v/>
      </c>
    </row>
    <row r="233" spans="1:6" x14ac:dyDescent="0.3">
      <c r="A233" t="s">
        <v>1710</v>
      </c>
      <c r="B233" t="s">
        <v>786</v>
      </c>
      <c r="C233" s="2">
        <v>46233.711111111108</v>
      </c>
      <c r="D233" s="6">
        <v>3635.41</v>
      </c>
      <c r="E233" t="s">
        <v>1479</v>
      </c>
      <c r="F233" t="str">
        <f>IF(AND(tblSettlement[[#This Row],[TransactionID]]&lt;&gt;"", COUNTIF(tblTransactions[TransactionID],tblSettlement[[#This Row],[TransactionID]])=0), " R7 - Orphan Settlement", "")</f>
        <v/>
      </c>
    </row>
    <row r="234" spans="1:6" x14ac:dyDescent="0.3">
      <c r="A234" t="s">
        <v>1711</v>
      </c>
      <c r="B234" t="s">
        <v>789</v>
      </c>
      <c r="C234" s="2">
        <v>46267.345833333333</v>
      </c>
      <c r="D234" s="6">
        <v>30812.799999999999</v>
      </c>
      <c r="E234" t="s">
        <v>1479</v>
      </c>
      <c r="F234" t="str">
        <f>IF(AND(tblSettlement[[#This Row],[TransactionID]]&lt;&gt;"", COUNTIF(tblTransactions[TransactionID],tblSettlement[[#This Row],[TransactionID]])=0), " R7 - Orphan Settlement", "")</f>
        <v/>
      </c>
    </row>
    <row r="235" spans="1:6" x14ac:dyDescent="0.3">
      <c r="A235" t="s">
        <v>1712</v>
      </c>
      <c r="B235" t="s">
        <v>792</v>
      </c>
      <c r="C235" s="2">
        <v>46261.915277777778</v>
      </c>
      <c r="D235" s="6">
        <v>68030.86</v>
      </c>
      <c r="E235" t="s">
        <v>1479</v>
      </c>
      <c r="F235" t="str">
        <f>IF(AND(tblSettlement[[#This Row],[TransactionID]]&lt;&gt;"", COUNTIF(tblTransactions[TransactionID],tblSettlement[[#This Row],[TransactionID]])=0), " R7 - Orphan Settlement", "")</f>
        <v/>
      </c>
    </row>
    <row r="236" spans="1:6" x14ac:dyDescent="0.3">
      <c r="A236" t="s">
        <v>1713</v>
      </c>
      <c r="B236" t="s">
        <v>795</v>
      </c>
      <c r="C236" s="2">
        <v>46220.44027777778</v>
      </c>
      <c r="D236" s="6">
        <v>29631.13</v>
      </c>
      <c r="E236" t="s">
        <v>1479</v>
      </c>
      <c r="F236" t="str">
        <f>IF(AND(tblSettlement[[#This Row],[TransactionID]]&lt;&gt;"", COUNTIF(tblTransactions[TransactionID],tblSettlement[[#This Row],[TransactionID]])=0), " R7 - Orphan Settlement", "")</f>
        <v/>
      </c>
    </row>
    <row r="237" spans="1:6" x14ac:dyDescent="0.3">
      <c r="A237" t="s">
        <v>1714</v>
      </c>
      <c r="B237" t="s">
        <v>798</v>
      </c>
      <c r="C237" s="2">
        <v>46264.781944444447</v>
      </c>
      <c r="D237" s="6">
        <v>40947.29</v>
      </c>
      <c r="E237" t="s">
        <v>1479</v>
      </c>
      <c r="F237" t="str">
        <f>IF(AND(tblSettlement[[#This Row],[TransactionID]]&lt;&gt;"", COUNTIF(tblTransactions[TransactionID],tblSettlement[[#This Row],[TransactionID]])=0), " R7 - Orphan Settlement", "")</f>
        <v/>
      </c>
    </row>
    <row r="238" spans="1:6" x14ac:dyDescent="0.3">
      <c r="A238" t="s">
        <v>1715</v>
      </c>
      <c r="B238" t="s">
        <v>801</v>
      </c>
      <c r="C238" s="2">
        <v>46242.499305555553</v>
      </c>
      <c r="D238" s="6">
        <v>65671.81</v>
      </c>
      <c r="E238" t="s">
        <v>1479</v>
      </c>
      <c r="F238" t="str">
        <f>IF(AND(tblSettlement[[#This Row],[TransactionID]]&lt;&gt;"", COUNTIF(tblTransactions[TransactionID],tblSettlement[[#This Row],[TransactionID]])=0), " R7 - Orphan Settlement", "")</f>
        <v/>
      </c>
    </row>
    <row r="239" spans="1:6" x14ac:dyDescent="0.3">
      <c r="A239" t="s">
        <v>1716</v>
      </c>
      <c r="B239" t="s">
        <v>804</v>
      </c>
      <c r="C239" s="2">
        <v>46237.461111111108</v>
      </c>
      <c r="D239" s="6">
        <v>7792.03</v>
      </c>
      <c r="E239" t="s">
        <v>1479</v>
      </c>
      <c r="F239" t="str">
        <f>IF(AND(tblSettlement[[#This Row],[TransactionID]]&lt;&gt;"", COUNTIF(tblTransactions[TransactionID],tblSettlement[[#This Row],[TransactionID]])=0), " R7 - Orphan Settlement", "")</f>
        <v/>
      </c>
    </row>
    <row r="240" spans="1:6" x14ac:dyDescent="0.3">
      <c r="A240" t="s">
        <v>1717</v>
      </c>
      <c r="B240" t="s">
        <v>807</v>
      </c>
      <c r="C240" s="2">
        <v>46255.634722222225</v>
      </c>
      <c r="D240" s="6">
        <v>40597.050000000003</v>
      </c>
      <c r="E240" t="s">
        <v>1479</v>
      </c>
      <c r="F240" t="str">
        <f>IF(AND(tblSettlement[[#This Row],[TransactionID]]&lt;&gt;"", COUNTIF(tblTransactions[TransactionID],tblSettlement[[#This Row],[TransactionID]])=0), " R7 - Orphan Settlement", "")</f>
        <v/>
      </c>
    </row>
    <row r="241" spans="1:6" x14ac:dyDescent="0.3">
      <c r="A241" t="s">
        <v>1718</v>
      </c>
      <c r="B241" t="s">
        <v>810</v>
      </c>
      <c r="C241" s="2">
        <v>46235.915277777778</v>
      </c>
      <c r="D241" s="6">
        <v>54930.93</v>
      </c>
      <c r="E241" t="s">
        <v>1479</v>
      </c>
      <c r="F241" t="str">
        <f>IF(AND(tblSettlement[[#This Row],[TransactionID]]&lt;&gt;"", COUNTIF(tblTransactions[TransactionID],tblSettlement[[#This Row],[TransactionID]])=0), " R7 - Orphan Settlement", "")</f>
        <v/>
      </c>
    </row>
    <row r="242" spans="1:6" x14ac:dyDescent="0.3">
      <c r="A242" t="s">
        <v>1719</v>
      </c>
      <c r="B242" t="s">
        <v>813</v>
      </c>
      <c r="C242" s="2">
        <v>46290.676388888889</v>
      </c>
      <c r="D242" s="6">
        <v>31163.63</v>
      </c>
      <c r="E242" t="s">
        <v>1479</v>
      </c>
      <c r="F242" t="str">
        <f>IF(AND(tblSettlement[[#This Row],[TransactionID]]&lt;&gt;"", COUNTIF(tblTransactions[TransactionID],tblSettlement[[#This Row],[TransactionID]])=0), " R7 - Orphan Settlement", "")</f>
        <v/>
      </c>
    </row>
    <row r="243" spans="1:6" x14ac:dyDescent="0.3">
      <c r="A243" t="s">
        <v>1720</v>
      </c>
      <c r="B243" t="s">
        <v>816</v>
      </c>
      <c r="C243" s="2">
        <v>46285.768750000003</v>
      </c>
      <c r="D243" s="6">
        <v>41799.839999999997</v>
      </c>
      <c r="E243" t="s">
        <v>1479</v>
      </c>
      <c r="F243" t="str">
        <f>IF(AND(tblSettlement[[#This Row],[TransactionID]]&lt;&gt;"", COUNTIF(tblTransactions[TransactionID],tblSettlement[[#This Row],[TransactionID]])=0), " R7 - Orphan Settlement", "")</f>
        <v/>
      </c>
    </row>
    <row r="244" spans="1:6" x14ac:dyDescent="0.3">
      <c r="A244" t="s">
        <v>1721</v>
      </c>
      <c r="B244" t="s">
        <v>819</v>
      </c>
      <c r="C244" s="2">
        <v>46296.601388888892</v>
      </c>
      <c r="D244" s="6">
        <v>11404.02</v>
      </c>
      <c r="E244" t="s">
        <v>1479</v>
      </c>
      <c r="F244" t="str">
        <f>IF(AND(tblSettlement[[#This Row],[TransactionID]]&lt;&gt;"", COUNTIF(tblTransactions[TransactionID],tblSettlement[[#This Row],[TransactionID]])=0), " R7 - Orphan Settlement", "")</f>
        <v/>
      </c>
    </row>
    <row r="245" spans="1:6" x14ac:dyDescent="0.3">
      <c r="A245" t="s">
        <v>1722</v>
      </c>
      <c r="B245" t="s">
        <v>822</v>
      </c>
      <c r="C245" s="2">
        <v>46245.90625</v>
      </c>
      <c r="D245" s="6">
        <v>11040.29</v>
      </c>
      <c r="E245" t="s">
        <v>1479</v>
      </c>
      <c r="F245" t="str">
        <f>IF(AND(tblSettlement[[#This Row],[TransactionID]]&lt;&gt;"", COUNTIF(tblTransactions[TransactionID],tblSettlement[[#This Row],[TransactionID]])=0), " R7 - Orphan Settlement", "")</f>
        <v/>
      </c>
    </row>
    <row r="246" spans="1:6" x14ac:dyDescent="0.3">
      <c r="A246" t="s">
        <v>1723</v>
      </c>
      <c r="B246" t="s">
        <v>825</v>
      </c>
      <c r="C246" s="2">
        <v>46275.672222222223</v>
      </c>
      <c r="D246" s="6">
        <v>29034.32</v>
      </c>
      <c r="E246" t="s">
        <v>1479</v>
      </c>
      <c r="F246" t="str">
        <f>IF(AND(tblSettlement[[#This Row],[TransactionID]]&lt;&gt;"", COUNTIF(tblTransactions[TransactionID],tblSettlement[[#This Row],[TransactionID]])=0), " R7 - Orphan Settlement", "")</f>
        <v/>
      </c>
    </row>
    <row r="247" spans="1:6" x14ac:dyDescent="0.3">
      <c r="A247" t="s">
        <v>1724</v>
      </c>
      <c r="B247" t="s">
        <v>828</v>
      </c>
      <c r="C247" s="2">
        <v>46217.698611111111</v>
      </c>
      <c r="D247" s="6">
        <v>62248.12</v>
      </c>
      <c r="E247" t="s">
        <v>1479</v>
      </c>
      <c r="F247" t="str">
        <f>IF(AND(tblSettlement[[#This Row],[TransactionID]]&lt;&gt;"", COUNTIF(tblTransactions[TransactionID],tblSettlement[[#This Row],[TransactionID]])=0), " R7 - Orphan Settlement", "")</f>
        <v/>
      </c>
    </row>
    <row r="248" spans="1:6" x14ac:dyDescent="0.3">
      <c r="A248" t="s">
        <v>1725</v>
      </c>
      <c r="B248" t="s">
        <v>831</v>
      </c>
      <c r="C248" s="2">
        <v>46228.866666666669</v>
      </c>
      <c r="D248" s="6">
        <v>44171.88</v>
      </c>
      <c r="E248" t="s">
        <v>1479</v>
      </c>
      <c r="F248" t="str">
        <f>IF(AND(tblSettlement[[#This Row],[TransactionID]]&lt;&gt;"", COUNTIF(tblTransactions[TransactionID],tblSettlement[[#This Row],[TransactionID]])=0), " R7 - Orphan Settlement", "")</f>
        <v/>
      </c>
    </row>
    <row r="249" spans="1:6" x14ac:dyDescent="0.3">
      <c r="A249" t="s">
        <v>1726</v>
      </c>
      <c r="B249" t="s">
        <v>834</v>
      </c>
      <c r="C249" s="2">
        <v>46245.916666666664</v>
      </c>
      <c r="D249" s="6">
        <v>16082.63</v>
      </c>
      <c r="E249" t="s">
        <v>1479</v>
      </c>
      <c r="F249" t="str">
        <f>IF(AND(tblSettlement[[#This Row],[TransactionID]]&lt;&gt;"", COUNTIF(tblTransactions[TransactionID],tblSettlement[[#This Row],[TransactionID]])=0), " R7 - Orphan Settlement", "")</f>
        <v/>
      </c>
    </row>
    <row r="250" spans="1:6" x14ac:dyDescent="0.3">
      <c r="A250" t="s">
        <v>1727</v>
      </c>
      <c r="B250" t="s">
        <v>837</v>
      </c>
      <c r="C250" s="2">
        <v>46238.818055555559</v>
      </c>
      <c r="D250" s="6">
        <v>52856.7</v>
      </c>
      <c r="E250" t="s">
        <v>1479</v>
      </c>
      <c r="F250" t="str">
        <f>IF(AND(tblSettlement[[#This Row],[TransactionID]]&lt;&gt;"", COUNTIF(tblTransactions[TransactionID],tblSettlement[[#This Row],[TransactionID]])=0), " R7 - Orphan Settlement", "")</f>
        <v/>
      </c>
    </row>
    <row r="251" spans="1:6" x14ac:dyDescent="0.3">
      <c r="A251" t="s">
        <v>1728</v>
      </c>
      <c r="B251" t="s">
        <v>840</v>
      </c>
      <c r="C251" s="2">
        <v>46252.648611111108</v>
      </c>
      <c r="D251" s="6">
        <v>48741.919999999998</v>
      </c>
      <c r="E251" t="s">
        <v>1479</v>
      </c>
      <c r="F251" t="str">
        <f>IF(AND(tblSettlement[[#This Row],[TransactionID]]&lt;&gt;"", COUNTIF(tblTransactions[TransactionID],tblSettlement[[#This Row],[TransactionID]])=0), " R7 - Orphan Settlement", "")</f>
        <v/>
      </c>
    </row>
    <row r="252" spans="1:6" x14ac:dyDescent="0.3">
      <c r="A252" t="s">
        <v>1729</v>
      </c>
      <c r="B252" t="s">
        <v>843</v>
      </c>
      <c r="C252" s="2">
        <v>46217.865277777775</v>
      </c>
      <c r="D252" s="6">
        <v>35344.410000000003</v>
      </c>
      <c r="E252" t="s">
        <v>1479</v>
      </c>
      <c r="F252" t="str">
        <f>IF(AND(tblSettlement[[#This Row],[TransactionID]]&lt;&gt;"", COUNTIF(tblTransactions[TransactionID],tblSettlement[[#This Row],[TransactionID]])=0), " R7 - Orphan Settlement", "")</f>
        <v/>
      </c>
    </row>
    <row r="253" spans="1:6" x14ac:dyDescent="0.3">
      <c r="A253" t="s">
        <v>1730</v>
      </c>
      <c r="B253" t="s">
        <v>846</v>
      </c>
      <c r="C253" s="2">
        <v>46276.884722222225</v>
      </c>
      <c r="D253" s="6">
        <v>55658.62</v>
      </c>
      <c r="E253" t="s">
        <v>1479</v>
      </c>
      <c r="F253" t="str">
        <f>IF(AND(tblSettlement[[#This Row],[TransactionID]]&lt;&gt;"", COUNTIF(tblTransactions[TransactionID],tblSettlement[[#This Row],[TransactionID]])=0), " R7 - Orphan Settlement", "")</f>
        <v/>
      </c>
    </row>
    <row r="254" spans="1:6" x14ac:dyDescent="0.3">
      <c r="A254" t="s">
        <v>1731</v>
      </c>
      <c r="B254" t="s">
        <v>849</v>
      </c>
      <c r="C254" s="2">
        <v>46243.425000000003</v>
      </c>
      <c r="D254" s="6">
        <v>24907.43</v>
      </c>
      <c r="E254" t="s">
        <v>1479</v>
      </c>
      <c r="F254" t="str">
        <f>IF(AND(tblSettlement[[#This Row],[TransactionID]]&lt;&gt;"", COUNTIF(tblTransactions[TransactionID],tblSettlement[[#This Row],[TransactionID]])=0), " R7 - Orphan Settlement", "")</f>
        <v/>
      </c>
    </row>
    <row r="255" spans="1:6" x14ac:dyDescent="0.3">
      <c r="A255" t="s">
        <v>1732</v>
      </c>
      <c r="B255" t="s">
        <v>852</v>
      </c>
      <c r="C255" s="2">
        <v>46236.869444444441</v>
      </c>
      <c r="D255" s="6">
        <v>36774.43</v>
      </c>
      <c r="E255" t="s">
        <v>1479</v>
      </c>
      <c r="F255" t="str">
        <f>IF(AND(tblSettlement[[#This Row],[TransactionID]]&lt;&gt;"", COUNTIF(tblTransactions[TransactionID],tblSettlement[[#This Row],[TransactionID]])=0), " R7 - Orphan Settlement", "")</f>
        <v/>
      </c>
    </row>
    <row r="256" spans="1:6" x14ac:dyDescent="0.3">
      <c r="A256" t="s">
        <v>1733</v>
      </c>
      <c r="B256" t="s">
        <v>855</v>
      </c>
      <c r="C256" s="2">
        <v>46228.448611111111</v>
      </c>
      <c r="D256" s="6">
        <v>41104.339999999997</v>
      </c>
      <c r="E256" t="s">
        <v>1479</v>
      </c>
      <c r="F256" t="str">
        <f>IF(AND(tblSettlement[[#This Row],[TransactionID]]&lt;&gt;"", COUNTIF(tblTransactions[TransactionID],tblSettlement[[#This Row],[TransactionID]])=0), " R7 - Orphan Settlement", "")</f>
        <v/>
      </c>
    </row>
    <row r="257" spans="1:6" x14ac:dyDescent="0.3">
      <c r="A257" t="s">
        <v>1734</v>
      </c>
      <c r="B257" t="s">
        <v>858</v>
      </c>
      <c r="C257" s="2">
        <v>46289.366666666669</v>
      </c>
      <c r="D257" s="6">
        <v>727.19</v>
      </c>
      <c r="E257" t="s">
        <v>1479</v>
      </c>
      <c r="F257" t="str">
        <f>IF(AND(tblSettlement[[#This Row],[TransactionID]]&lt;&gt;"", COUNTIF(tblTransactions[TransactionID],tblSettlement[[#This Row],[TransactionID]])=0), " R7 - Orphan Settlement", "")</f>
        <v/>
      </c>
    </row>
    <row r="258" spans="1:6" x14ac:dyDescent="0.3">
      <c r="A258" t="s">
        <v>1735</v>
      </c>
      <c r="B258" t="s">
        <v>860</v>
      </c>
      <c r="C258" s="2">
        <v>46205.480555555558</v>
      </c>
      <c r="D258" s="6">
        <v>34336.720000000001</v>
      </c>
      <c r="E258" t="s">
        <v>1479</v>
      </c>
      <c r="F258" t="str">
        <f>IF(AND(tblSettlement[[#This Row],[TransactionID]]&lt;&gt;"", COUNTIF(tblTransactions[TransactionID],tblSettlement[[#This Row],[TransactionID]])=0), " R7 - Orphan Settlement", "")</f>
        <v/>
      </c>
    </row>
    <row r="259" spans="1:6" x14ac:dyDescent="0.3">
      <c r="A259" t="s">
        <v>1736</v>
      </c>
      <c r="B259" t="s">
        <v>863</v>
      </c>
      <c r="C259" s="2">
        <v>46209.356944444444</v>
      </c>
      <c r="D259" s="6">
        <v>41485.360000000001</v>
      </c>
      <c r="E259" t="s">
        <v>1479</v>
      </c>
      <c r="F259" t="str">
        <f>IF(AND(tblSettlement[[#This Row],[TransactionID]]&lt;&gt;"", COUNTIF(tblTransactions[TransactionID],tblSettlement[[#This Row],[TransactionID]])=0), " R7 - Orphan Settlement", "")</f>
        <v/>
      </c>
    </row>
    <row r="260" spans="1:6" x14ac:dyDescent="0.3">
      <c r="A260" t="s">
        <v>1737</v>
      </c>
      <c r="B260" t="s">
        <v>866</v>
      </c>
      <c r="C260" s="2">
        <v>46208.702777777777</v>
      </c>
      <c r="D260" s="6">
        <v>52414.97</v>
      </c>
      <c r="E260" t="s">
        <v>1479</v>
      </c>
      <c r="F260" t="str">
        <f>IF(AND(tblSettlement[[#This Row],[TransactionID]]&lt;&gt;"", COUNTIF(tblTransactions[TransactionID],tblSettlement[[#This Row],[TransactionID]])=0), " R7 - Orphan Settlement", "")</f>
        <v/>
      </c>
    </row>
    <row r="261" spans="1:6" x14ac:dyDescent="0.3">
      <c r="A261" t="s">
        <v>1738</v>
      </c>
      <c r="B261" t="s">
        <v>869</v>
      </c>
      <c r="C261" s="2">
        <v>46223.466666666667</v>
      </c>
      <c r="D261" s="6">
        <v>46578.62</v>
      </c>
      <c r="E261" t="s">
        <v>1479</v>
      </c>
      <c r="F261" t="str">
        <f>IF(AND(tblSettlement[[#This Row],[TransactionID]]&lt;&gt;"", COUNTIF(tblTransactions[TransactionID],tblSettlement[[#This Row],[TransactionID]])=0), " R7 - Orphan Settlement", "")</f>
        <v/>
      </c>
    </row>
    <row r="262" spans="1:6" x14ac:dyDescent="0.3">
      <c r="A262" t="s">
        <v>1739</v>
      </c>
      <c r="B262" t="s">
        <v>874</v>
      </c>
      <c r="C262" s="2">
        <v>46288.90347222222</v>
      </c>
      <c r="D262" s="6">
        <v>57029.04</v>
      </c>
      <c r="E262" t="s">
        <v>1479</v>
      </c>
      <c r="F262" t="str">
        <f>IF(AND(tblSettlement[[#This Row],[TransactionID]]&lt;&gt;"", COUNTIF(tblTransactions[TransactionID],tblSettlement[[#This Row],[TransactionID]])=0), " R7 - Orphan Settlement", "")</f>
        <v/>
      </c>
    </row>
    <row r="263" spans="1:6" x14ac:dyDescent="0.3">
      <c r="A263" t="s">
        <v>1740</v>
      </c>
      <c r="B263" t="s">
        <v>877</v>
      </c>
      <c r="C263" s="2">
        <v>46286.363888888889</v>
      </c>
      <c r="D263" s="6">
        <v>13060.92</v>
      </c>
      <c r="E263" t="s">
        <v>1479</v>
      </c>
      <c r="F263" t="str">
        <f>IF(AND(tblSettlement[[#This Row],[TransactionID]]&lt;&gt;"", COUNTIF(tblTransactions[TransactionID],tblSettlement[[#This Row],[TransactionID]])=0), " R7 - Orphan Settlement", "")</f>
        <v/>
      </c>
    </row>
    <row r="264" spans="1:6" x14ac:dyDescent="0.3">
      <c r="A264" t="s">
        <v>1741</v>
      </c>
      <c r="B264" t="s">
        <v>883</v>
      </c>
      <c r="C264" s="2">
        <v>46216.790972222225</v>
      </c>
      <c r="D264" s="6">
        <v>21207.88</v>
      </c>
      <c r="E264" t="s">
        <v>1479</v>
      </c>
      <c r="F264" t="str">
        <f>IF(AND(tblSettlement[[#This Row],[TransactionID]]&lt;&gt;"", COUNTIF(tblTransactions[TransactionID],tblSettlement[[#This Row],[TransactionID]])=0), " R7 - Orphan Settlement", "")</f>
        <v/>
      </c>
    </row>
    <row r="265" spans="1:6" x14ac:dyDescent="0.3">
      <c r="A265" t="s">
        <v>1742</v>
      </c>
      <c r="B265" t="s">
        <v>886</v>
      </c>
      <c r="C265" s="2">
        <v>46208.484027777777</v>
      </c>
      <c r="D265" s="6">
        <v>11028.32</v>
      </c>
      <c r="E265" t="s">
        <v>1479</v>
      </c>
      <c r="F265" t="str">
        <f>IF(AND(tblSettlement[[#This Row],[TransactionID]]&lt;&gt;"", COUNTIF(tblTransactions[TransactionID],tblSettlement[[#This Row],[TransactionID]])=0), " R7 - Orphan Settlement", "")</f>
        <v/>
      </c>
    </row>
    <row r="266" spans="1:6" x14ac:dyDescent="0.3">
      <c r="A266" t="s">
        <v>1743</v>
      </c>
      <c r="B266" t="s">
        <v>895</v>
      </c>
      <c r="C266" s="2">
        <v>46248.742361111108</v>
      </c>
      <c r="D266" s="6">
        <v>46136.43</v>
      </c>
      <c r="E266" t="s">
        <v>1479</v>
      </c>
      <c r="F266" t="str">
        <f>IF(AND(tblSettlement[[#This Row],[TransactionID]]&lt;&gt;"", COUNTIF(tblTransactions[TransactionID],tblSettlement[[#This Row],[TransactionID]])=0), " R7 - Orphan Settlement", "")</f>
        <v/>
      </c>
    </row>
    <row r="267" spans="1:6" x14ac:dyDescent="0.3">
      <c r="A267" t="s">
        <v>1744</v>
      </c>
      <c r="B267" t="s">
        <v>901</v>
      </c>
      <c r="C267" s="2">
        <v>46286.535416666666</v>
      </c>
      <c r="D267" s="6">
        <v>18672.12</v>
      </c>
      <c r="E267" t="s">
        <v>1479</v>
      </c>
      <c r="F267" t="str">
        <f>IF(AND(tblSettlement[[#This Row],[TransactionID]]&lt;&gt;"", COUNTIF(tblTransactions[TransactionID],tblSettlement[[#This Row],[TransactionID]])=0), " R7 - Orphan Settlement", "")</f>
        <v/>
      </c>
    </row>
    <row r="268" spans="1:6" x14ac:dyDescent="0.3">
      <c r="A268" t="s">
        <v>1745</v>
      </c>
      <c r="B268" t="s">
        <v>904</v>
      </c>
      <c r="C268" s="2">
        <v>46253.557638888888</v>
      </c>
      <c r="D268" s="6">
        <v>8214.68</v>
      </c>
      <c r="E268" t="s">
        <v>1479</v>
      </c>
      <c r="F268" t="str">
        <f>IF(AND(tblSettlement[[#This Row],[TransactionID]]&lt;&gt;"", COUNTIF(tblTransactions[TransactionID],tblSettlement[[#This Row],[TransactionID]])=0), " R7 - Orphan Settlement", "")</f>
        <v/>
      </c>
    </row>
    <row r="269" spans="1:6" x14ac:dyDescent="0.3">
      <c r="A269" t="s">
        <v>1746</v>
      </c>
      <c r="B269" t="s">
        <v>907</v>
      </c>
      <c r="C269" s="2">
        <v>46219.420138888891</v>
      </c>
      <c r="D269" s="6">
        <v>14257.54</v>
      </c>
      <c r="E269" t="s">
        <v>1479</v>
      </c>
      <c r="F269" t="str">
        <f>IF(AND(tblSettlement[[#This Row],[TransactionID]]&lt;&gt;"", COUNTIF(tblTransactions[TransactionID],tblSettlement[[#This Row],[TransactionID]])=0), " R7 - Orphan Settlement", "")</f>
        <v/>
      </c>
    </row>
    <row r="270" spans="1:6" x14ac:dyDescent="0.3">
      <c r="A270" t="s">
        <v>1747</v>
      </c>
      <c r="B270" t="s">
        <v>909</v>
      </c>
      <c r="C270" s="2">
        <v>46215.565972222219</v>
      </c>
      <c r="D270" s="6">
        <v>7206.55</v>
      </c>
      <c r="E270" t="s">
        <v>1479</v>
      </c>
      <c r="F270" t="str">
        <f>IF(AND(tblSettlement[[#This Row],[TransactionID]]&lt;&gt;"", COUNTIF(tblTransactions[TransactionID],tblSettlement[[#This Row],[TransactionID]])=0), " R7 - Orphan Settlement", "")</f>
        <v/>
      </c>
    </row>
    <row r="271" spans="1:6" x14ac:dyDescent="0.3">
      <c r="A271" t="s">
        <v>1748</v>
      </c>
      <c r="B271" t="s">
        <v>911</v>
      </c>
      <c r="C271" s="2">
        <v>46253.836805555555</v>
      </c>
      <c r="D271" s="6">
        <v>54432.08</v>
      </c>
      <c r="E271" t="s">
        <v>1479</v>
      </c>
      <c r="F271" t="str">
        <f>IF(AND(tblSettlement[[#This Row],[TransactionID]]&lt;&gt;"", COUNTIF(tblTransactions[TransactionID],tblSettlement[[#This Row],[TransactionID]])=0), " R7 - Orphan Settlement", "")</f>
        <v/>
      </c>
    </row>
    <row r="272" spans="1:6" x14ac:dyDescent="0.3">
      <c r="A272" t="s">
        <v>1749</v>
      </c>
      <c r="B272" t="s">
        <v>914</v>
      </c>
      <c r="C272" s="2">
        <v>46227.428472222222</v>
      </c>
      <c r="D272" s="6">
        <v>22759.56</v>
      </c>
      <c r="E272" t="s">
        <v>1479</v>
      </c>
      <c r="F272" t="str">
        <f>IF(AND(tblSettlement[[#This Row],[TransactionID]]&lt;&gt;"", COUNTIF(tblTransactions[TransactionID],tblSettlement[[#This Row],[TransactionID]])=0), " R7 - Orphan Settlement", "")</f>
        <v/>
      </c>
    </row>
    <row r="273" spans="1:6" x14ac:dyDescent="0.3">
      <c r="A273" t="s">
        <v>1750</v>
      </c>
      <c r="B273" t="s">
        <v>917</v>
      </c>
      <c r="C273" s="2">
        <v>46243.659722222219</v>
      </c>
      <c r="D273" s="6">
        <v>5999.87</v>
      </c>
      <c r="E273" t="s">
        <v>1479</v>
      </c>
      <c r="F273" t="str">
        <f>IF(AND(tblSettlement[[#This Row],[TransactionID]]&lt;&gt;"", COUNTIF(tblTransactions[TransactionID],tblSettlement[[#This Row],[TransactionID]])=0), " R7 - Orphan Settlement", "")</f>
        <v/>
      </c>
    </row>
    <row r="274" spans="1:6" x14ac:dyDescent="0.3">
      <c r="A274" t="s">
        <v>1751</v>
      </c>
      <c r="B274" t="s">
        <v>929</v>
      </c>
      <c r="C274" s="2">
        <v>46247.595138888886</v>
      </c>
      <c r="D274" s="6">
        <v>61282.97</v>
      </c>
      <c r="E274" t="s">
        <v>1479</v>
      </c>
      <c r="F274" t="str">
        <f>IF(AND(tblSettlement[[#This Row],[TransactionID]]&lt;&gt;"", COUNTIF(tblTransactions[TransactionID],tblSettlement[[#This Row],[TransactionID]])=0), " R7 - Orphan Settlement", "")</f>
        <v/>
      </c>
    </row>
    <row r="275" spans="1:6" x14ac:dyDescent="0.3">
      <c r="A275" t="s">
        <v>1752</v>
      </c>
      <c r="B275" t="s">
        <v>935</v>
      </c>
      <c r="C275" s="2">
        <v>46295.411111111112</v>
      </c>
      <c r="D275" s="6">
        <v>63622.15</v>
      </c>
      <c r="E275" t="s">
        <v>1479</v>
      </c>
      <c r="F275" t="str">
        <f>IF(AND(tblSettlement[[#This Row],[TransactionID]]&lt;&gt;"", COUNTIF(tblTransactions[TransactionID],tblSettlement[[#This Row],[TransactionID]])=0), " R7 - Orphan Settlement", "")</f>
        <v/>
      </c>
    </row>
    <row r="276" spans="1:6" x14ac:dyDescent="0.3">
      <c r="A276" t="s">
        <v>1753</v>
      </c>
      <c r="B276" t="s">
        <v>938</v>
      </c>
      <c r="C276" s="2">
        <v>46237.529166666667</v>
      </c>
      <c r="D276" s="6">
        <v>11772.21</v>
      </c>
      <c r="E276" t="s">
        <v>1479</v>
      </c>
      <c r="F276" t="str">
        <f>IF(AND(tblSettlement[[#This Row],[TransactionID]]&lt;&gt;"", COUNTIF(tblTransactions[TransactionID],tblSettlement[[#This Row],[TransactionID]])=0), " R7 - Orphan Settlement", "")</f>
        <v/>
      </c>
    </row>
    <row r="277" spans="1:6" x14ac:dyDescent="0.3">
      <c r="A277" t="s">
        <v>1754</v>
      </c>
      <c r="B277" t="s">
        <v>944</v>
      </c>
      <c r="C277" s="2">
        <v>46295.95208333333</v>
      </c>
      <c r="D277" s="6">
        <v>40383.72</v>
      </c>
      <c r="E277" t="s">
        <v>1479</v>
      </c>
      <c r="F277" t="str">
        <f>IF(AND(tblSettlement[[#This Row],[TransactionID]]&lt;&gt;"", COUNTIF(tblTransactions[TransactionID],tblSettlement[[#This Row],[TransactionID]])=0), " R7 - Orphan Settlement", "")</f>
        <v/>
      </c>
    </row>
    <row r="278" spans="1:6" x14ac:dyDescent="0.3">
      <c r="A278" t="s">
        <v>1755</v>
      </c>
      <c r="B278" t="s">
        <v>950</v>
      </c>
      <c r="C278" s="2">
        <v>46260.375</v>
      </c>
      <c r="D278" s="6">
        <v>7620.84</v>
      </c>
      <c r="E278" t="s">
        <v>1479</v>
      </c>
      <c r="F278" t="str">
        <f>IF(AND(tblSettlement[[#This Row],[TransactionID]]&lt;&gt;"", COUNTIF(tblTransactions[TransactionID],tblSettlement[[#This Row],[TransactionID]])=0), " R7 - Orphan Settlement", "")</f>
        <v/>
      </c>
    </row>
    <row r="279" spans="1:6" x14ac:dyDescent="0.3">
      <c r="A279" t="s">
        <v>1756</v>
      </c>
      <c r="B279" t="s">
        <v>953</v>
      </c>
      <c r="C279" s="2">
        <v>46263.559027777781</v>
      </c>
      <c r="D279" s="6">
        <v>34863.97</v>
      </c>
      <c r="E279" t="s">
        <v>1479</v>
      </c>
      <c r="F279" t="str">
        <f>IF(AND(tblSettlement[[#This Row],[TransactionID]]&lt;&gt;"", COUNTIF(tblTransactions[TransactionID],tblSettlement[[#This Row],[TransactionID]])=0), " R7 - Orphan Settlement", "")</f>
        <v/>
      </c>
    </row>
    <row r="280" spans="1:6" x14ac:dyDescent="0.3">
      <c r="A280" t="s">
        <v>1757</v>
      </c>
      <c r="B280" t="s">
        <v>959</v>
      </c>
      <c r="C280" s="2">
        <v>46265.842361111114</v>
      </c>
      <c r="D280" s="6">
        <v>39203.33</v>
      </c>
      <c r="E280" t="s">
        <v>1479</v>
      </c>
      <c r="F280" t="str">
        <f>IF(AND(tblSettlement[[#This Row],[TransactionID]]&lt;&gt;"", COUNTIF(tblTransactions[TransactionID],tblSettlement[[#This Row],[TransactionID]])=0), " R7 - Orphan Settlement", "")</f>
        <v/>
      </c>
    </row>
    <row r="281" spans="1:6" x14ac:dyDescent="0.3">
      <c r="A281" t="s">
        <v>1758</v>
      </c>
      <c r="B281" t="s">
        <v>965</v>
      </c>
      <c r="C281" s="2">
        <v>46236.674305555556</v>
      </c>
      <c r="D281" s="6">
        <v>41505.29</v>
      </c>
      <c r="E281" t="s">
        <v>1479</v>
      </c>
      <c r="F281" t="str">
        <f>IF(AND(tblSettlement[[#This Row],[TransactionID]]&lt;&gt;"", COUNTIF(tblTransactions[TransactionID],tblSettlement[[#This Row],[TransactionID]])=0), " R7 - Orphan Settlement", "")</f>
        <v/>
      </c>
    </row>
    <row r="282" spans="1:6" x14ac:dyDescent="0.3">
      <c r="A282" t="s">
        <v>1759</v>
      </c>
      <c r="B282" t="s">
        <v>967</v>
      </c>
      <c r="C282" s="2">
        <v>46286.424305555556</v>
      </c>
      <c r="D282" s="6">
        <v>48125.8</v>
      </c>
      <c r="E282" t="s">
        <v>1479</v>
      </c>
      <c r="F282" t="str">
        <f>IF(AND(tblSettlement[[#This Row],[TransactionID]]&lt;&gt;"", COUNTIF(tblTransactions[TransactionID],tblSettlement[[#This Row],[TransactionID]])=0), " R7 - Orphan Settlement", "")</f>
        <v/>
      </c>
    </row>
    <row r="283" spans="1:6" x14ac:dyDescent="0.3">
      <c r="A283" t="s">
        <v>1760</v>
      </c>
      <c r="B283" t="s">
        <v>970</v>
      </c>
      <c r="C283" s="2">
        <v>46279.6</v>
      </c>
      <c r="D283" s="6">
        <v>582.64</v>
      </c>
      <c r="E283" t="s">
        <v>1479</v>
      </c>
      <c r="F283" t="str">
        <f>IF(AND(tblSettlement[[#This Row],[TransactionID]]&lt;&gt;"", COUNTIF(tblTransactions[TransactionID],tblSettlement[[#This Row],[TransactionID]])=0), " R7 - Orphan Settlement", "")</f>
        <v/>
      </c>
    </row>
    <row r="284" spans="1:6" x14ac:dyDescent="0.3">
      <c r="A284" t="s">
        <v>1761</v>
      </c>
      <c r="B284" t="s">
        <v>973</v>
      </c>
      <c r="C284" s="2">
        <v>46230.555555555555</v>
      </c>
      <c r="D284" s="6">
        <v>14981.3</v>
      </c>
      <c r="E284" t="s">
        <v>1479</v>
      </c>
      <c r="F284" t="str">
        <f>IF(AND(tblSettlement[[#This Row],[TransactionID]]&lt;&gt;"", COUNTIF(tblTransactions[TransactionID],tblSettlement[[#This Row],[TransactionID]])=0), " R7 - Orphan Settlement", "")</f>
        <v/>
      </c>
    </row>
    <row r="285" spans="1:6" x14ac:dyDescent="0.3">
      <c r="A285" t="s">
        <v>1762</v>
      </c>
      <c r="B285" t="s">
        <v>976</v>
      </c>
      <c r="C285" s="2">
        <v>46281.61041666667</v>
      </c>
      <c r="D285" s="6">
        <v>29592.66</v>
      </c>
      <c r="E285" t="s">
        <v>1479</v>
      </c>
      <c r="F285" t="str">
        <f>IF(AND(tblSettlement[[#This Row],[TransactionID]]&lt;&gt;"", COUNTIF(tblTransactions[TransactionID],tblSettlement[[#This Row],[TransactionID]])=0), " R7 - Orphan Settlement", "")</f>
        <v/>
      </c>
    </row>
    <row r="286" spans="1:6" x14ac:dyDescent="0.3">
      <c r="A286" t="s">
        <v>1763</v>
      </c>
      <c r="B286" t="s">
        <v>979</v>
      </c>
      <c r="C286" s="2">
        <v>46284.711805555555</v>
      </c>
      <c r="D286" s="6">
        <v>50490.23</v>
      </c>
      <c r="E286" t="s">
        <v>1479</v>
      </c>
      <c r="F286" t="str">
        <f>IF(AND(tblSettlement[[#This Row],[TransactionID]]&lt;&gt;"", COUNTIF(tblTransactions[TransactionID],tblSettlement[[#This Row],[TransactionID]])=0), " R7 - Orphan Settlement", "")</f>
        <v/>
      </c>
    </row>
    <row r="287" spans="1:6" x14ac:dyDescent="0.3">
      <c r="A287" t="s">
        <v>1764</v>
      </c>
      <c r="B287" t="s">
        <v>982</v>
      </c>
      <c r="C287" s="2">
        <v>46292.438888888886</v>
      </c>
      <c r="D287" s="6">
        <v>29287.63</v>
      </c>
      <c r="E287" t="s">
        <v>1479</v>
      </c>
      <c r="F287" t="str">
        <f>IF(AND(tblSettlement[[#This Row],[TransactionID]]&lt;&gt;"", COUNTIF(tblTransactions[TransactionID],tblSettlement[[#This Row],[TransactionID]])=0), " R7 - Orphan Settlement", "")</f>
        <v/>
      </c>
    </row>
    <row r="288" spans="1:6" x14ac:dyDescent="0.3">
      <c r="A288" t="s">
        <v>1765</v>
      </c>
      <c r="B288" t="s">
        <v>987</v>
      </c>
      <c r="C288" s="2">
        <v>46222.430555555555</v>
      </c>
      <c r="D288" s="6">
        <v>63188.39</v>
      </c>
      <c r="E288" t="s">
        <v>1479</v>
      </c>
      <c r="F288" t="str">
        <f>IF(AND(tblSettlement[[#This Row],[TransactionID]]&lt;&gt;"", COUNTIF(tblTransactions[TransactionID],tblSettlement[[#This Row],[TransactionID]])=0), " R7 - Orphan Settlement", "")</f>
        <v/>
      </c>
    </row>
    <row r="289" spans="1:6" x14ac:dyDescent="0.3">
      <c r="A289" t="s">
        <v>1766</v>
      </c>
      <c r="B289" t="s">
        <v>990</v>
      </c>
      <c r="C289" s="2">
        <v>46256.688888888886</v>
      </c>
      <c r="D289" s="6">
        <v>49066.96</v>
      </c>
      <c r="E289" t="s">
        <v>1479</v>
      </c>
      <c r="F289" t="str">
        <f>IF(AND(tblSettlement[[#This Row],[TransactionID]]&lt;&gt;"", COUNTIF(tblTransactions[TransactionID],tblSettlement[[#This Row],[TransactionID]])=0), " R7 - Orphan Settlement", "")</f>
        <v/>
      </c>
    </row>
    <row r="290" spans="1:6" x14ac:dyDescent="0.3">
      <c r="A290" t="s">
        <v>1767</v>
      </c>
      <c r="B290" t="s">
        <v>993</v>
      </c>
      <c r="C290" s="2">
        <v>46269.420138888891</v>
      </c>
      <c r="D290" s="6">
        <v>42513.49</v>
      </c>
      <c r="E290" t="s">
        <v>1479</v>
      </c>
      <c r="F290" t="str">
        <f>IF(AND(tblSettlement[[#This Row],[TransactionID]]&lt;&gt;"", COUNTIF(tblTransactions[TransactionID],tblSettlement[[#This Row],[TransactionID]])=0), " R7 - Orphan Settlement", "")</f>
        <v/>
      </c>
    </row>
    <row r="291" spans="1:6" x14ac:dyDescent="0.3">
      <c r="A291" t="s">
        <v>1768</v>
      </c>
      <c r="B291" t="s">
        <v>995</v>
      </c>
      <c r="C291" s="2">
        <v>46274.506944444445</v>
      </c>
      <c r="D291" s="6">
        <v>58610.33</v>
      </c>
      <c r="E291" t="s">
        <v>1479</v>
      </c>
      <c r="F291" t="str">
        <f>IF(AND(tblSettlement[[#This Row],[TransactionID]]&lt;&gt;"", COUNTIF(tblTransactions[TransactionID],tblSettlement[[#This Row],[TransactionID]])=0), " R7 - Orphan Settlement", "")</f>
        <v/>
      </c>
    </row>
    <row r="292" spans="1:6" x14ac:dyDescent="0.3">
      <c r="A292" t="s">
        <v>1769</v>
      </c>
      <c r="B292" t="s">
        <v>998</v>
      </c>
      <c r="C292" s="2">
        <v>46238.856944444444</v>
      </c>
      <c r="D292" s="6">
        <v>61790.39</v>
      </c>
      <c r="E292" t="s">
        <v>1479</v>
      </c>
      <c r="F292" t="str">
        <f>IF(AND(tblSettlement[[#This Row],[TransactionID]]&lt;&gt;"", COUNTIF(tblTransactions[TransactionID],tblSettlement[[#This Row],[TransactionID]])=0), " R7 - Orphan Settlement", "")</f>
        <v/>
      </c>
    </row>
    <row r="293" spans="1:6" x14ac:dyDescent="0.3">
      <c r="A293" t="s">
        <v>1770</v>
      </c>
      <c r="B293" t="s">
        <v>1004</v>
      </c>
      <c r="C293" s="2">
        <v>46260.879861111112</v>
      </c>
      <c r="D293" s="6">
        <v>58228.47</v>
      </c>
      <c r="E293" t="s">
        <v>1479</v>
      </c>
      <c r="F293" t="str">
        <f>IF(AND(tblSettlement[[#This Row],[TransactionID]]&lt;&gt;"", COUNTIF(tblTransactions[TransactionID],tblSettlement[[#This Row],[TransactionID]])=0), " R7 - Orphan Settlement", "")</f>
        <v/>
      </c>
    </row>
    <row r="294" spans="1:6" x14ac:dyDescent="0.3">
      <c r="A294" t="s">
        <v>1771</v>
      </c>
      <c r="B294" t="s">
        <v>1007</v>
      </c>
      <c r="C294" s="2">
        <v>46227.713888888888</v>
      </c>
      <c r="D294" s="6">
        <v>58917.49</v>
      </c>
      <c r="E294" t="s">
        <v>1479</v>
      </c>
      <c r="F294" t="str">
        <f>IF(AND(tblSettlement[[#This Row],[TransactionID]]&lt;&gt;"", COUNTIF(tblTransactions[TransactionID],tblSettlement[[#This Row],[TransactionID]])=0), " R7 - Orphan Settlement", "")</f>
        <v/>
      </c>
    </row>
    <row r="295" spans="1:6" x14ac:dyDescent="0.3">
      <c r="A295" t="s">
        <v>1772</v>
      </c>
      <c r="B295" t="s">
        <v>1010</v>
      </c>
      <c r="C295" s="2">
        <v>46283.673611111109</v>
      </c>
      <c r="D295" s="6">
        <v>24443.11</v>
      </c>
      <c r="E295" t="s">
        <v>1479</v>
      </c>
      <c r="F295" t="str">
        <f>IF(AND(tblSettlement[[#This Row],[TransactionID]]&lt;&gt;"", COUNTIF(tblTransactions[TransactionID],tblSettlement[[#This Row],[TransactionID]])=0), " R7 - Orphan Settlement", "")</f>
        <v/>
      </c>
    </row>
    <row r="296" spans="1:6" x14ac:dyDescent="0.3">
      <c r="A296" t="s">
        <v>1773</v>
      </c>
      <c r="B296" t="s">
        <v>1013</v>
      </c>
      <c r="C296" s="2">
        <v>46290.879166666666</v>
      </c>
      <c r="D296" s="6">
        <v>10385.27</v>
      </c>
      <c r="E296" t="s">
        <v>1479</v>
      </c>
      <c r="F296" t="str">
        <f>IF(AND(tblSettlement[[#This Row],[TransactionID]]&lt;&gt;"", COUNTIF(tblTransactions[TransactionID],tblSettlement[[#This Row],[TransactionID]])=0), " R7 - Orphan Settlement", "")</f>
        <v/>
      </c>
    </row>
    <row r="297" spans="1:6" x14ac:dyDescent="0.3">
      <c r="A297" t="s">
        <v>1774</v>
      </c>
      <c r="B297" t="s">
        <v>1016</v>
      </c>
      <c r="C297" s="2">
        <v>46293.880555555559</v>
      </c>
      <c r="D297" s="6">
        <v>18913.37</v>
      </c>
      <c r="E297" t="s">
        <v>1479</v>
      </c>
      <c r="F297" t="str">
        <f>IF(AND(tblSettlement[[#This Row],[TransactionID]]&lt;&gt;"", COUNTIF(tblTransactions[TransactionID],tblSettlement[[#This Row],[TransactionID]])=0), " R7 - Orphan Settlement", "")</f>
        <v/>
      </c>
    </row>
    <row r="298" spans="1:6" x14ac:dyDescent="0.3">
      <c r="A298" t="s">
        <v>1775</v>
      </c>
      <c r="B298" t="s">
        <v>1019</v>
      </c>
      <c r="C298" s="2">
        <v>46284.6</v>
      </c>
      <c r="D298" s="6">
        <v>34036.379999999997</v>
      </c>
      <c r="E298" t="s">
        <v>1479</v>
      </c>
      <c r="F298" t="str">
        <f>IF(AND(tblSettlement[[#This Row],[TransactionID]]&lt;&gt;"", COUNTIF(tblTransactions[TransactionID],tblSettlement[[#This Row],[TransactionID]])=0), " R7 - Orphan Settlement", "")</f>
        <v/>
      </c>
    </row>
    <row r="299" spans="1:6" x14ac:dyDescent="0.3">
      <c r="A299" t="s">
        <v>1776</v>
      </c>
      <c r="B299" t="s">
        <v>1024</v>
      </c>
      <c r="C299" s="2">
        <v>46262.779166666667</v>
      </c>
      <c r="D299" s="6">
        <v>52372.35</v>
      </c>
      <c r="E299" t="s">
        <v>1479</v>
      </c>
      <c r="F299" t="str">
        <f>IF(AND(tblSettlement[[#This Row],[TransactionID]]&lt;&gt;"", COUNTIF(tblTransactions[TransactionID],tblSettlement[[#This Row],[TransactionID]])=0), " R7 - Orphan Settlement", "")</f>
        <v/>
      </c>
    </row>
    <row r="300" spans="1:6" x14ac:dyDescent="0.3">
      <c r="A300" t="s">
        <v>1777</v>
      </c>
      <c r="B300" t="s">
        <v>1027</v>
      </c>
      <c r="C300" s="2">
        <v>46234.636805555558</v>
      </c>
      <c r="D300" s="6">
        <v>24384.17</v>
      </c>
      <c r="E300" t="s">
        <v>1479</v>
      </c>
      <c r="F300" t="str">
        <f>IF(AND(tblSettlement[[#This Row],[TransactionID]]&lt;&gt;"", COUNTIF(tblTransactions[TransactionID],tblSettlement[[#This Row],[TransactionID]])=0), " R7 - Orphan Settlement", "")</f>
        <v/>
      </c>
    </row>
    <row r="301" spans="1:6" x14ac:dyDescent="0.3">
      <c r="A301" t="s">
        <v>1778</v>
      </c>
      <c r="B301" t="s">
        <v>1030</v>
      </c>
      <c r="C301" s="2">
        <v>46248.946527777778</v>
      </c>
      <c r="D301" s="6">
        <v>57228.49</v>
      </c>
      <c r="E301" t="s">
        <v>1479</v>
      </c>
      <c r="F301" t="str">
        <f>IF(AND(tblSettlement[[#This Row],[TransactionID]]&lt;&gt;"", COUNTIF(tblTransactions[TransactionID],tblSettlement[[#This Row],[TransactionID]])=0), " R7 - Orphan Settlement", "")</f>
        <v/>
      </c>
    </row>
    <row r="302" spans="1:6" x14ac:dyDescent="0.3">
      <c r="A302" t="s">
        <v>1779</v>
      </c>
      <c r="B302" t="s">
        <v>1032</v>
      </c>
      <c r="C302" s="2">
        <v>46263.625</v>
      </c>
      <c r="D302" s="6">
        <v>74389.91</v>
      </c>
      <c r="E302" t="s">
        <v>1479</v>
      </c>
      <c r="F302" t="str">
        <f>IF(AND(tblSettlement[[#This Row],[TransactionID]]&lt;&gt;"", COUNTIF(tblTransactions[TransactionID],tblSettlement[[#This Row],[TransactionID]])=0), " R7 - Orphan Settlement", "")</f>
        <v/>
      </c>
    </row>
    <row r="303" spans="1:6" x14ac:dyDescent="0.3">
      <c r="A303" t="s">
        <v>1780</v>
      </c>
      <c r="B303" t="s">
        <v>1035</v>
      </c>
      <c r="C303" s="2">
        <v>46226.915972222225</v>
      </c>
      <c r="D303" s="6">
        <v>65775.48</v>
      </c>
      <c r="E303" t="s">
        <v>1479</v>
      </c>
      <c r="F303" t="str">
        <f>IF(AND(tblSettlement[[#This Row],[TransactionID]]&lt;&gt;"", COUNTIF(tblTransactions[TransactionID],tblSettlement[[#This Row],[TransactionID]])=0), " R7 - Orphan Settlement", "")</f>
        <v/>
      </c>
    </row>
    <row r="304" spans="1:6" x14ac:dyDescent="0.3">
      <c r="A304" t="s">
        <v>1781</v>
      </c>
      <c r="B304" t="s">
        <v>1038</v>
      </c>
      <c r="C304" s="2">
        <v>46213.611111111109</v>
      </c>
      <c r="D304" s="6">
        <v>23086.82</v>
      </c>
      <c r="E304" t="s">
        <v>1479</v>
      </c>
      <c r="F304" t="str">
        <f>IF(AND(tblSettlement[[#This Row],[TransactionID]]&lt;&gt;"", COUNTIF(tblTransactions[TransactionID],tblSettlement[[#This Row],[TransactionID]])=0), " R7 - Orphan Settlement", "")</f>
        <v/>
      </c>
    </row>
    <row r="305" spans="1:6" x14ac:dyDescent="0.3">
      <c r="A305" t="s">
        <v>1782</v>
      </c>
      <c r="B305" t="s">
        <v>1041</v>
      </c>
      <c r="C305" s="2">
        <v>46205.479166666664</v>
      </c>
      <c r="D305" s="6">
        <v>6075.92</v>
      </c>
      <c r="E305" t="s">
        <v>1479</v>
      </c>
      <c r="F305" t="str">
        <f>IF(AND(tblSettlement[[#This Row],[TransactionID]]&lt;&gt;"", COUNTIF(tblTransactions[TransactionID],tblSettlement[[#This Row],[TransactionID]])=0), " R7 - Orphan Settlement", "")</f>
        <v/>
      </c>
    </row>
    <row r="306" spans="1:6" x14ac:dyDescent="0.3">
      <c r="A306" t="s">
        <v>1783</v>
      </c>
      <c r="B306" t="s">
        <v>1043</v>
      </c>
      <c r="C306" s="2">
        <v>46220.893750000003</v>
      </c>
      <c r="D306" s="6">
        <v>52128.82</v>
      </c>
      <c r="E306" t="s">
        <v>1479</v>
      </c>
      <c r="F306" t="str">
        <f>IF(AND(tblSettlement[[#This Row],[TransactionID]]&lt;&gt;"", COUNTIF(tblTransactions[TransactionID],tblSettlement[[#This Row],[TransactionID]])=0), " R7 - Orphan Settlement", "")</f>
        <v/>
      </c>
    </row>
    <row r="307" spans="1:6" x14ac:dyDescent="0.3">
      <c r="A307" t="s">
        <v>1784</v>
      </c>
      <c r="B307" t="s">
        <v>1046</v>
      </c>
      <c r="C307" s="2">
        <v>46219.557638888888</v>
      </c>
      <c r="D307" s="6">
        <v>66103.929999999993</v>
      </c>
      <c r="E307" t="s">
        <v>1479</v>
      </c>
      <c r="F307" t="str">
        <f>IF(AND(tblSettlement[[#This Row],[TransactionID]]&lt;&gt;"", COUNTIF(tblTransactions[TransactionID],tblSettlement[[#This Row],[TransactionID]])=0), " R7 - Orphan Settlement", "")</f>
        <v/>
      </c>
    </row>
    <row r="308" spans="1:6" x14ac:dyDescent="0.3">
      <c r="A308" t="s">
        <v>1785</v>
      </c>
      <c r="B308" t="s">
        <v>1048</v>
      </c>
      <c r="C308" s="2">
        <v>46284.756944444445</v>
      </c>
      <c r="D308" s="6">
        <v>33147.43</v>
      </c>
      <c r="E308" t="s">
        <v>1479</v>
      </c>
      <c r="F308" t="str">
        <f>IF(AND(tblSettlement[[#This Row],[TransactionID]]&lt;&gt;"", COUNTIF(tblTransactions[TransactionID],tblSettlement[[#This Row],[TransactionID]])=0), " R7 - Orphan Settlement", "")</f>
        <v/>
      </c>
    </row>
    <row r="309" spans="1:6" x14ac:dyDescent="0.3">
      <c r="A309" t="s">
        <v>1786</v>
      </c>
      <c r="B309" t="s">
        <v>1051</v>
      </c>
      <c r="C309" s="2">
        <v>46234.414583333331</v>
      </c>
      <c r="D309" s="6">
        <v>7759.77</v>
      </c>
      <c r="E309" t="s">
        <v>1479</v>
      </c>
      <c r="F309" t="str">
        <f>IF(AND(tblSettlement[[#This Row],[TransactionID]]&lt;&gt;"", COUNTIF(tblTransactions[TransactionID],tblSettlement[[#This Row],[TransactionID]])=0), " R7 - Orphan Settlement", "")</f>
        <v/>
      </c>
    </row>
    <row r="310" spans="1:6" x14ac:dyDescent="0.3">
      <c r="A310" t="s">
        <v>1787</v>
      </c>
      <c r="B310" t="s">
        <v>1054</v>
      </c>
      <c r="C310" s="2">
        <v>46245.838888888888</v>
      </c>
      <c r="D310" s="6">
        <v>18772.03</v>
      </c>
      <c r="E310" t="s">
        <v>1479</v>
      </c>
      <c r="F310" t="str">
        <f>IF(AND(tblSettlement[[#This Row],[TransactionID]]&lt;&gt;"", COUNTIF(tblTransactions[TransactionID],tblSettlement[[#This Row],[TransactionID]])=0), " R7 - Orphan Settlement", "")</f>
        <v/>
      </c>
    </row>
    <row r="311" spans="1:6" x14ac:dyDescent="0.3">
      <c r="A311" t="s">
        <v>1788</v>
      </c>
      <c r="B311" t="s">
        <v>1057</v>
      </c>
      <c r="C311" s="2">
        <v>46294.370833333334</v>
      </c>
      <c r="D311" s="6">
        <v>63568.480000000003</v>
      </c>
      <c r="E311" t="s">
        <v>1479</v>
      </c>
      <c r="F311" t="str">
        <f>IF(AND(tblSettlement[[#This Row],[TransactionID]]&lt;&gt;"", COUNTIF(tblTransactions[TransactionID],tblSettlement[[#This Row],[TransactionID]])=0), " R7 - Orphan Settlement", "")</f>
        <v/>
      </c>
    </row>
    <row r="312" spans="1:6" x14ac:dyDescent="0.3">
      <c r="A312" t="s">
        <v>1789</v>
      </c>
      <c r="B312" t="s">
        <v>1066</v>
      </c>
      <c r="C312" s="2">
        <v>46256.911805555559</v>
      </c>
      <c r="D312" s="6">
        <v>42736.43</v>
      </c>
      <c r="E312" t="s">
        <v>1479</v>
      </c>
      <c r="F312" t="str">
        <f>IF(AND(tblSettlement[[#This Row],[TransactionID]]&lt;&gt;"", COUNTIF(tblTransactions[TransactionID],tblSettlement[[#This Row],[TransactionID]])=0), " R7 - Orphan Settlement", "")</f>
        <v/>
      </c>
    </row>
    <row r="313" spans="1:6" x14ac:dyDescent="0.3">
      <c r="A313" t="s">
        <v>1790</v>
      </c>
      <c r="B313" t="s">
        <v>1072</v>
      </c>
      <c r="C313" s="2">
        <v>46257.613888888889</v>
      </c>
      <c r="D313" s="6">
        <v>30320.240000000002</v>
      </c>
      <c r="E313" t="s">
        <v>1479</v>
      </c>
      <c r="F313" t="str">
        <f>IF(AND(tblSettlement[[#This Row],[TransactionID]]&lt;&gt;"", COUNTIF(tblTransactions[TransactionID],tblSettlement[[#This Row],[TransactionID]])=0), " R7 - Orphan Settlement", "")</f>
        <v/>
      </c>
    </row>
    <row r="314" spans="1:6" x14ac:dyDescent="0.3">
      <c r="A314" t="s">
        <v>1791</v>
      </c>
      <c r="B314" t="s">
        <v>1078</v>
      </c>
      <c r="C314" s="2">
        <v>46245.810416666667</v>
      </c>
      <c r="D314" s="6">
        <v>54814.39</v>
      </c>
      <c r="E314" t="s">
        <v>1479</v>
      </c>
      <c r="F314" t="str">
        <f>IF(AND(tblSettlement[[#This Row],[TransactionID]]&lt;&gt;"", COUNTIF(tblTransactions[TransactionID],tblSettlement[[#This Row],[TransactionID]])=0), " R7 - Orphan Settlement", "")</f>
        <v/>
      </c>
    </row>
    <row r="315" spans="1:6" x14ac:dyDescent="0.3">
      <c r="A315" t="s">
        <v>1792</v>
      </c>
      <c r="B315" t="s">
        <v>1084</v>
      </c>
      <c r="C315" s="2">
        <v>46295.340277777781</v>
      </c>
      <c r="D315" s="6">
        <v>37356.870000000003</v>
      </c>
      <c r="E315" t="s">
        <v>1479</v>
      </c>
      <c r="F315" t="str">
        <f>IF(AND(tblSettlement[[#This Row],[TransactionID]]&lt;&gt;"", COUNTIF(tblTransactions[TransactionID],tblSettlement[[#This Row],[TransactionID]])=0), " R7 - Orphan Settlement", "")</f>
        <v/>
      </c>
    </row>
    <row r="316" spans="1:6" x14ac:dyDescent="0.3">
      <c r="A316" t="s">
        <v>1793</v>
      </c>
      <c r="B316" t="s">
        <v>1095</v>
      </c>
      <c r="C316" s="2">
        <v>46206.370833333334</v>
      </c>
      <c r="D316" s="6">
        <v>64753.9</v>
      </c>
      <c r="E316" t="s">
        <v>1479</v>
      </c>
      <c r="F316" t="str">
        <f>IF(AND(tblSettlement[[#This Row],[TransactionID]]&lt;&gt;"", COUNTIF(tblTransactions[TransactionID],tblSettlement[[#This Row],[TransactionID]])=0), " R7 - Orphan Settlement", "")</f>
        <v/>
      </c>
    </row>
    <row r="317" spans="1:6" x14ac:dyDescent="0.3">
      <c r="A317" t="s">
        <v>1794</v>
      </c>
      <c r="B317" t="s">
        <v>1098</v>
      </c>
      <c r="C317" s="2">
        <v>46227.95416666667</v>
      </c>
      <c r="D317" s="6">
        <v>2893.43</v>
      </c>
      <c r="E317" t="s">
        <v>1479</v>
      </c>
      <c r="F317" t="str">
        <f>IF(AND(tblSettlement[[#This Row],[TransactionID]]&lt;&gt;"", COUNTIF(tblTransactions[TransactionID],tblSettlement[[#This Row],[TransactionID]])=0), " R7 - Orphan Settlement", "")</f>
        <v/>
      </c>
    </row>
    <row r="318" spans="1:6" x14ac:dyDescent="0.3">
      <c r="A318" t="s">
        <v>1795</v>
      </c>
      <c r="B318" t="s">
        <v>1101</v>
      </c>
      <c r="C318" s="2">
        <v>46258.948611111111</v>
      </c>
      <c r="D318" s="6">
        <v>24165.15</v>
      </c>
      <c r="E318" t="s">
        <v>1479</v>
      </c>
      <c r="F318" t="str">
        <f>IF(AND(tblSettlement[[#This Row],[TransactionID]]&lt;&gt;"", COUNTIF(tblTransactions[TransactionID],tblSettlement[[#This Row],[TransactionID]])=0), " R7 - Orphan Settlement", "")</f>
        <v/>
      </c>
    </row>
    <row r="319" spans="1:6" x14ac:dyDescent="0.3">
      <c r="A319" t="s">
        <v>1796</v>
      </c>
      <c r="B319" t="s">
        <v>1104</v>
      </c>
      <c r="C319" s="2">
        <v>46227.493750000001</v>
      </c>
      <c r="D319" s="6">
        <v>38804.120000000003</v>
      </c>
      <c r="E319" t="s">
        <v>1479</v>
      </c>
      <c r="F319" t="str">
        <f>IF(AND(tblSettlement[[#This Row],[TransactionID]]&lt;&gt;"", COUNTIF(tblTransactions[TransactionID],tblSettlement[[#This Row],[TransactionID]])=0), " R7 - Orphan Settlement", "")</f>
        <v/>
      </c>
    </row>
    <row r="320" spans="1:6" x14ac:dyDescent="0.3">
      <c r="A320" t="s">
        <v>1797</v>
      </c>
      <c r="B320" t="s">
        <v>1107</v>
      </c>
      <c r="C320" s="2">
        <v>46243.545138888891</v>
      </c>
      <c r="D320" s="6">
        <v>41593.58</v>
      </c>
      <c r="E320" t="s">
        <v>1479</v>
      </c>
      <c r="F320" t="str">
        <f>IF(AND(tblSettlement[[#This Row],[TransactionID]]&lt;&gt;"", COUNTIF(tblTransactions[TransactionID],tblSettlement[[#This Row],[TransactionID]])=0), " R7 - Orphan Settlement", "")</f>
        <v/>
      </c>
    </row>
    <row r="321" spans="1:6" x14ac:dyDescent="0.3">
      <c r="A321" t="s">
        <v>1798</v>
      </c>
      <c r="B321" t="s">
        <v>1113</v>
      </c>
      <c r="C321" s="2">
        <v>46224.374305555553</v>
      </c>
      <c r="D321" s="6">
        <v>30900.2</v>
      </c>
      <c r="E321" t="s">
        <v>1479</v>
      </c>
      <c r="F321" t="str">
        <f>IF(AND(tblSettlement[[#This Row],[TransactionID]]&lt;&gt;"", COUNTIF(tblTransactions[TransactionID],tblSettlement[[#This Row],[TransactionID]])=0), " R7 - Orphan Settlement", "")</f>
        <v/>
      </c>
    </row>
    <row r="322" spans="1:6" x14ac:dyDescent="0.3">
      <c r="A322" t="s">
        <v>1799</v>
      </c>
      <c r="B322" t="s">
        <v>1116</v>
      </c>
      <c r="C322" s="2">
        <v>46291.620833333334</v>
      </c>
      <c r="D322" s="6">
        <v>55421.68</v>
      </c>
      <c r="E322" t="s">
        <v>1479</v>
      </c>
      <c r="F322" t="str">
        <f>IF(AND(tblSettlement[[#This Row],[TransactionID]]&lt;&gt;"", COUNTIF(tblTransactions[TransactionID],tblSettlement[[#This Row],[TransactionID]])=0), " R7 - Orphan Settlement", "")</f>
        <v/>
      </c>
    </row>
    <row r="323" spans="1:6" x14ac:dyDescent="0.3">
      <c r="A323" t="s">
        <v>1800</v>
      </c>
      <c r="B323" t="s">
        <v>1119</v>
      </c>
      <c r="C323" s="2">
        <v>46266.339583333334</v>
      </c>
      <c r="D323" s="6">
        <v>53446.02</v>
      </c>
      <c r="E323" t="s">
        <v>1479</v>
      </c>
      <c r="F323" t="str">
        <f>IF(AND(tblSettlement[[#This Row],[TransactionID]]&lt;&gt;"", COUNTIF(tblTransactions[TransactionID],tblSettlement[[#This Row],[TransactionID]])=0), " R7 - Orphan Settlement", "")</f>
        <v/>
      </c>
    </row>
    <row r="324" spans="1:6" x14ac:dyDescent="0.3">
      <c r="A324" t="s">
        <v>1801</v>
      </c>
      <c r="B324" t="s">
        <v>1122</v>
      </c>
      <c r="C324" s="2">
        <v>46265.795138888891</v>
      </c>
      <c r="D324" s="6">
        <v>43662.6</v>
      </c>
      <c r="E324" t="s">
        <v>1479</v>
      </c>
      <c r="F324" t="str">
        <f>IF(AND(tblSettlement[[#This Row],[TransactionID]]&lt;&gt;"", COUNTIF(tblTransactions[TransactionID],tblSettlement[[#This Row],[TransactionID]])=0), " R7 - Orphan Settlement", "")</f>
        <v/>
      </c>
    </row>
    <row r="325" spans="1:6" x14ac:dyDescent="0.3">
      <c r="A325" t="s">
        <v>1802</v>
      </c>
      <c r="B325" t="s">
        <v>1124</v>
      </c>
      <c r="C325" s="2">
        <v>46261.755555555559</v>
      </c>
      <c r="D325" s="6">
        <v>17948.689999999999</v>
      </c>
      <c r="E325" t="s">
        <v>1479</v>
      </c>
      <c r="F325" t="str">
        <f>IF(AND(tblSettlement[[#This Row],[TransactionID]]&lt;&gt;"", COUNTIF(tblTransactions[TransactionID],tblSettlement[[#This Row],[TransactionID]])=0), " R7 - Orphan Settlement", "")</f>
        <v/>
      </c>
    </row>
    <row r="326" spans="1:6" x14ac:dyDescent="0.3">
      <c r="A326" t="s">
        <v>1803</v>
      </c>
      <c r="B326" t="s">
        <v>1130</v>
      </c>
      <c r="C326" s="2">
        <v>46228.645138888889</v>
      </c>
      <c r="D326" s="6">
        <v>23723.99</v>
      </c>
      <c r="E326" t="s">
        <v>1479</v>
      </c>
      <c r="F326" t="str">
        <f>IF(AND(tblSettlement[[#This Row],[TransactionID]]&lt;&gt;"", COUNTIF(tblTransactions[TransactionID],tblSettlement[[#This Row],[TransactionID]])=0), " R7 - Orphan Settlement", "")</f>
        <v/>
      </c>
    </row>
    <row r="327" spans="1:6" x14ac:dyDescent="0.3">
      <c r="A327" t="s">
        <v>1804</v>
      </c>
      <c r="B327" t="s">
        <v>1133</v>
      </c>
      <c r="C327" s="2">
        <v>46238.879861111112</v>
      </c>
      <c r="D327" s="6">
        <v>7008.96</v>
      </c>
      <c r="E327" t="s">
        <v>1479</v>
      </c>
      <c r="F327" t="str">
        <f>IF(AND(tblSettlement[[#This Row],[TransactionID]]&lt;&gt;"", COUNTIF(tblTransactions[TransactionID],tblSettlement[[#This Row],[TransactionID]])=0), " R7 - Orphan Settlement", "")</f>
        <v/>
      </c>
    </row>
    <row r="328" spans="1:6" x14ac:dyDescent="0.3">
      <c r="A328" t="s">
        <v>1805</v>
      </c>
      <c r="B328" t="s">
        <v>1135</v>
      </c>
      <c r="C328" s="2">
        <v>46222.40625</v>
      </c>
      <c r="D328" s="6">
        <v>18804.349999999999</v>
      </c>
      <c r="E328" t="s">
        <v>1479</v>
      </c>
      <c r="F328" t="str">
        <f>IF(AND(tblSettlement[[#This Row],[TransactionID]]&lt;&gt;"", COUNTIF(tblTransactions[TransactionID],tblSettlement[[#This Row],[TransactionID]])=0), " R7 - Orphan Settlement", "")</f>
        <v/>
      </c>
    </row>
    <row r="329" spans="1:6" x14ac:dyDescent="0.3">
      <c r="A329" t="s">
        <v>1806</v>
      </c>
      <c r="B329" t="s">
        <v>1138</v>
      </c>
      <c r="C329" s="2">
        <v>46226.350694444445</v>
      </c>
      <c r="D329" s="6">
        <v>64131.45</v>
      </c>
      <c r="E329" t="s">
        <v>1479</v>
      </c>
      <c r="F329" t="str">
        <f>IF(AND(tblSettlement[[#This Row],[TransactionID]]&lt;&gt;"", COUNTIF(tblTransactions[TransactionID],tblSettlement[[#This Row],[TransactionID]])=0), " R7 - Orphan Settlement", "")</f>
        <v/>
      </c>
    </row>
    <row r="330" spans="1:6" x14ac:dyDescent="0.3">
      <c r="A330" t="s">
        <v>1807</v>
      </c>
      <c r="B330" t="s">
        <v>1141</v>
      </c>
      <c r="C330" s="2">
        <v>46222.375</v>
      </c>
      <c r="D330" s="6">
        <v>4859.7700000000004</v>
      </c>
      <c r="E330" t="s">
        <v>1479</v>
      </c>
      <c r="F330" t="str">
        <f>IF(AND(tblSettlement[[#This Row],[TransactionID]]&lt;&gt;"", COUNTIF(tblTransactions[TransactionID],tblSettlement[[#This Row],[TransactionID]])=0), " R7 - Orphan Settlement", "")</f>
        <v/>
      </c>
    </row>
    <row r="331" spans="1:6" x14ac:dyDescent="0.3">
      <c r="A331" t="s">
        <v>1808</v>
      </c>
      <c r="B331" t="s">
        <v>1144</v>
      </c>
      <c r="C331" s="2">
        <v>46252.777777777781</v>
      </c>
      <c r="D331" s="6">
        <v>70333.72</v>
      </c>
      <c r="E331" t="s">
        <v>1479</v>
      </c>
      <c r="F331" t="str">
        <f>IF(AND(tblSettlement[[#This Row],[TransactionID]]&lt;&gt;"", COUNTIF(tblTransactions[TransactionID],tblSettlement[[#This Row],[TransactionID]])=0), " R7 - Orphan Settlement", "")</f>
        <v/>
      </c>
    </row>
    <row r="332" spans="1:6" x14ac:dyDescent="0.3">
      <c r="A332" t="s">
        <v>1809</v>
      </c>
      <c r="B332" t="s">
        <v>1147</v>
      </c>
      <c r="C332" s="2">
        <v>46209.383333333331</v>
      </c>
      <c r="D332" s="6">
        <v>67711.58</v>
      </c>
      <c r="E332" t="s">
        <v>1479</v>
      </c>
      <c r="F332" t="str">
        <f>IF(AND(tblSettlement[[#This Row],[TransactionID]]&lt;&gt;"", COUNTIF(tblTransactions[TransactionID],tblSettlement[[#This Row],[TransactionID]])=0), " R7 - Orphan Settlement", "")</f>
        <v/>
      </c>
    </row>
    <row r="333" spans="1:6" x14ac:dyDescent="0.3">
      <c r="A333" t="s">
        <v>1810</v>
      </c>
      <c r="B333" t="s">
        <v>1155</v>
      </c>
      <c r="C333" s="2">
        <v>46208.73541666667</v>
      </c>
      <c r="D333" s="6">
        <v>46369.04</v>
      </c>
      <c r="E333" t="s">
        <v>1479</v>
      </c>
      <c r="F333" t="str">
        <f>IF(AND(tblSettlement[[#This Row],[TransactionID]]&lt;&gt;"", COUNTIF(tblTransactions[TransactionID],tblSettlement[[#This Row],[TransactionID]])=0), " R7 - Orphan Settlement", "")</f>
        <v/>
      </c>
    </row>
    <row r="334" spans="1:6" x14ac:dyDescent="0.3">
      <c r="A334" t="s">
        <v>1811</v>
      </c>
      <c r="B334" t="s">
        <v>1158</v>
      </c>
      <c r="C334" s="2">
        <v>46214.386805555558</v>
      </c>
      <c r="D334" s="6">
        <v>28880.39</v>
      </c>
      <c r="E334" t="s">
        <v>1479</v>
      </c>
      <c r="F334" t="str">
        <f>IF(AND(tblSettlement[[#This Row],[TransactionID]]&lt;&gt;"", COUNTIF(tblTransactions[TransactionID],tblSettlement[[#This Row],[TransactionID]])=0), " R7 - Orphan Settlement", "")</f>
        <v/>
      </c>
    </row>
    <row r="335" spans="1:6" x14ac:dyDescent="0.3">
      <c r="A335" t="s">
        <v>1812</v>
      </c>
      <c r="B335" t="s">
        <v>1161</v>
      </c>
      <c r="C335" s="2">
        <v>46209.618055555555</v>
      </c>
      <c r="D335" s="6">
        <v>53574.46</v>
      </c>
      <c r="E335" t="s">
        <v>1479</v>
      </c>
      <c r="F335" t="str">
        <f>IF(AND(tblSettlement[[#This Row],[TransactionID]]&lt;&gt;"", COUNTIF(tblTransactions[TransactionID],tblSettlement[[#This Row],[TransactionID]])=0), " R7 - Orphan Settlement", "")</f>
        <v/>
      </c>
    </row>
    <row r="336" spans="1:6" x14ac:dyDescent="0.3">
      <c r="A336" t="s">
        <v>1813</v>
      </c>
      <c r="B336" t="s">
        <v>1164</v>
      </c>
      <c r="C336" s="2">
        <v>46248.595138888886</v>
      </c>
      <c r="D336" s="6">
        <v>13691.24</v>
      </c>
      <c r="E336" t="s">
        <v>1479</v>
      </c>
      <c r="F336" t="str">
        <f>IF(AND(tblSettlement[[#This Row],[TransactionID]]&lt;&gt;"", COUNTIF(tblTransactions[TransactionID],tblSettlement[[#This Row],[TransactionID]])=0), " R7 - Orphan Settlement", "")</f>
        <v/>
      </c>
    </row>
    <row r="337" spans="1:6" x14ac:dyDescent="0.3">
      <c r="A337" t="s">
        <v>1814</v>
      </c>
      <c r="B337" t="s">
        <v>1167</v>
      </c>
      <c r="C337" s="2">
        <v>46214.854166666664</v>
      </c>
      <c r="D337" s="6">
        <v>39825.06</v>
      </c>
      <c r="E337" t="s">
        <v>1479</v>
      </c>
      <c r="F337" t="str">
        <f>IF(AND(tblSettlement[[#This Row],[TransactionID]]&lt;&gt;"", COUNTIF(tblTransactions[TransactionID],tblSettlement[[#This Row],[TransactionID]])=0), " R7 - Orphan Settlement", "")</f>
        <v/>
      </c>
    </row>
    <row r="338" spans="1:6" x14ac:dyDescent="0.3">
      <c r="A338" t="s">
        <v>1815</v>
      </c>
      <c r="B338" t="s">
        <v>1170</v>
      </c>
      <c r="C338" s="2">
        <v>46239.702777777777</v>
      </c>
      <c r="D338" s="6">
        <v>59394.98</v>
      </c>
      <c r="E338" t="s">
        <v>1479</v>
      </c>
      <c r="F338" t="str">
        <f>IF(AND(tblSettlement[[#This Row],[TransactionID]]&lt;&gt;"", COUNTIF(tblTransactions[TransactionID],tblSettlement[[#This Row],[TransactionID]])=0), " R7 - Orphan Settlement", "")</f>
        <v/>
      </c>
    </row>
    <row r="339" spans="1:6" x14ac:dyDescent="0.3">
      <c r="A339" t="s">
        <v>1816</v>
      </c>
      <c r="B339" t="s">
        <v>1173</v>
      </c>
      <c r="C339" s="2">
        <v>46252.953472222223</v>
      </c>
      <c r="D339" s="6">
        <v>74367.759999999995</v>
      </c>
      <c r="E339" t="s">
        <v>1479</v>
      </c>
      <c r="F339" t="str">
        <f>IF(AND(tblSettlement[[#This Row],[TransactionID]]&lt;&gt;"", COUNTIF(tblTransactions[TransactionID],tblSettlement[[#This Row],[TransactionID]])=0), " R7 - Orphan Settlement", "")</f>
        <v/>
      </c>
    </row>
    <row r="340" spans="1:6" x14ac:dyDescent="0.3">
      <c r="A340" t="s">
        <v>1817</v>
      </c>
      <c r="B340" t="s">
        <v>1178</v>
      </c>
      <c r="C340" s="2">
        <v>46268.679861111108</v>
      </c>
      <c r="D340" s="6">
        <v>13372.87</v>
      </c>
      <c r="E340" t="s">
        <v>1479</v>
      </c>
      <c r="F340" t="str">
        <f>IF(AND(tblSettlement[[#This Row],[TransactionID]]&lt;&gt;"", COUNTIF(tblTransactions[TransactionID],tblSettlement[[#This Row],[TransactionID]])=0), " R7 - Orphan Settlement", "")</f>
        <v/>
      </c>
    </row>
    <row r="341" spans="1:6" x14ac:dyDescent="0.3">
      <c r="A341" t="s">
        <v>1818</v>
      </c>
      <c r="B341" t="s">
        <v>1181</v>
      </c>
      <c r="C341" s="2">
        <v>46274.625</v>
      </c>
      <c r="D341" s="6">
        <v>25047.119999999999</v>
      </c>
      <c r="E341" t="s">
        <v>1479</v>
      </c>
      <c r="F341" t="str">
        <f>IF(AND(tblSettlement[[#This Row],[TransactionID]]&lt;&gt;"", COUNTIF(tblTransactions[TransactionID],tblSettlement[[#This Row],[TransactionID]])=0), " R7 - Orphan Settlement", "")</f>
        <v/>
      </c>
    </row>
    <row r="342" spans="1:6" x14ac:dyDescent="0.3">
      <c r="A342" t="s">
        <v>1819</v>
      </c>
      <c r="B342" t="s">
        <v>1186</v>
      </c>
      <c r="C342" s="2">
        <v>46251.820833333331</v>
      </c>
      <c r="D342" s="6">
        <v>29820.77</v>
      </c>
      <c r="E342" t="s">
        <v>1479</v>
      </c>
      <c r="F342" t="str">
        <f>IF(AND(tblSettlement[[#This Row],[TransactionID]]&lt;&gt;"", COUNTIF(tblTransactions[TransactionID],tblSettlement[[#This Row],[TransactionID]])=0), " R7 - Orphan Settlement", "")</f>
        <v/>
      </c>
    </row>
    <row r="343" spans="1:6" x14ac:dyDescent="0.3">
      <c r="A343" t="s">
        <v>1820</v>
      </c>
      <c r="B343" t="s">
        <v>1189</v>
      </c>
      <c r="C343" s="2">
        <v>46261.861111111109</v>
      </c>
      <c r="D343" s="6">
        <v>72059.490000000005</v>
      </c>
      <c r="E343" t="s">
        <v>1479</v>
      </c>
      <c r="F343" t="str">
        <f>IF(AND(tblSettlement[[#This Row],[TransactionID]]&lt;&gt;"", COUNTIF(tblTransactions[TransactionID],tblSettlement[[#This Row],[TransactionID]])=0), " R7 - Orphan Settlement", "")</f>
        <v/>
      </c>
    </row>
    <row r="344" spans="1:6" x14ac:dyDescent="0.3">
      <c r="A344" t="s">
        <v>1821</v>
      </c>
      <c r="B344" t="s">
        <v>1192</v>
      </c>
      <c r="C344" s="2">
        <v>46232.775694444441</v>
      </c>
      <c r="D344" s="6">
        <v>61130.45</v>
      </c>
      <c r="E344" t="s">
        <v>1479</v>
      </c>
      <c r="F344" t="str">
        <f>IF(AND(tblSettlement[[#This Row],[TransactionID]]&lt;&gt;"", COUNTIF(tblTransactions[TransactionID],tblSettlement[[#This Row],[TransactionID]])=0), " R7 - Orphan Settlement", "")</f>
        <v/>
      </c>
    </row>
    <row r="345" spans="1:6" x14ac:dyDescent="0.3">
      <c r="A345" t="s">
        <v>1822</v>
      </c>
      <c r="B345" t="s">
        <v>1195</v>
      </c>
      <c r="C345" s="2">
        <v>46295.725694444445</v>
      </c>
      <c r="D345" s="6">
        <v>63844.08</v>
      </c>
      <c r="E345" t="s">
        <v>1479</v>
      </c>
      <c r="F345" t="str">
        <f>IF(AND(tblSettlement[[#This Row],[TransactionID]]&lt;&gt;"", COUNTIF(tblTransactions[TransactionID],tblSettlement[[#This Row],[TransactionID]])=0), " R7 - Orphan Settlement", "")</f>
        <v/>
      </c>
    </row>
    <row r="346" spans="1:6" x14ac:dyDescent="0.3">
      <c r="A346" t="s">
        <v>1823</v>
      </c>
      <c r="B346" t="s">
        <v>1203</v>
      </c>
      <c r="C346" s="2">
        <v>46233.488888888889</v>
      </c>
      <c r="D346" s="6">
        <v>5317.66</v>
      </c>
      <c r="E346" t="s">
        <v>1479</v>
      </c>
      <c r="F346" t="str">
        <f>IF(AND(tblSettlement[[#This Row],[TransactionID]]&lt;&gt;"", COUNTIF(tblTransactions[TransactionID],tblSettlement[[#This Row],[TransactionID]])=0), " R7 - Orphan Settlement", "")</f>
        <v/>
      </c>
    </row>
    <row r="347" spans="1:6" x14ac:dyDescent="0.3">
      <c r="A347" t="s">
        <v>1824</v>
      </c>
      <c r="B347" t="s">
        <v>1208</v>
      </c>
      <c r="C347" s="2">
        <v>46278.783333333333</v>
      </c>
      <c r="D347" s="6">
        <v>51615.24</v>
      </c>
      <c r="E347" t="s">
        <v>1479</v>
      </c>
      <c r="F347" t="str">
        <f>IF(AND(tblSettlement[[#This Row],[TransactionID]]&lt;&gt;"", COUNTIF(tblTransactions[TransactionID],tblSettlement[[#This Row],[TransactionID]])=0), " R7 - Orphan Settlement", "")</f>
        <v/>
      </c>
    </row>
    <row r="348" spans="1:6" x14ac:dyDescent="0.3">
      <c r="A348" t="s">
        <v>1825</v>
      </c>
      <c r="B348" t="s">
        <v>1214</v>
      </c>
      <c r="C348" s="2">
        <v>46247.73541666667</v>
      </c>
      <c r="D348" s="6">
        <v>67018.66</v>
      </c>
      <c r="E348" t="s">
        <v>1479</v>
      </c>
      <c r="F348" t="str">
        <f>IF(AND(tblSettlement[[#This Row],[TransactionID]]&lt;&gt;"", COUNTIF(tblTransactions[TransactionID],tblSettlement[[#This Row],[TransactionID]])=0), " R7 - Orphan Settlement", "")</f>
        <v/>
      </c>
    </row>
    <row r="349" spans="1:6" x14ac:dyDescent="0.3">
      <c r="A349" t="s">
        <v>1826</v>
      </c>
      <c r="B349" t="s">
        <v>1220</v>
      </c>
      <c r="C349" s="2">
        <v>46238.762499999997</v>
      </c>
      <c r="D349" s="6">
        <v>22480.7</v>
      </c>
      <c r="E349" t="s">
        <v>1479</v>
      </c>
      <c r="F349" t="str">
        <f>IF(AND(tblSettlement[[#This Row],[TransactionID]]&lt;&gt;"", COUNTIF(tblTransactions[TransactionID],tblSettlement[[#This Row],[TransactionID]])=0), " R7 - Orphan Settlement", "")</f>
        <v/>
      </c>
    </row>
    <row r="350" spans="1:6" x14ac:dyDescent="0.3">
      <c r="A350" t="s">
        <v>1827</v>
      </c>
      <c r="B350" t="s">
        <v>1223</v>
      </c>
      <c r="C350" s="2">
        <v>46223.349305555559</v>
      </c>
      <c r="D350" s="6">
        <v>535.21</v>
      </c>
      <c r="E350" t="s">
        <v>1479</v>
      </c>
      <c r="F350" t="str">
        <f>IF(AND(tblSettlement[[#This Row],[TransactionID]]&lt;&gt;"", COUNTIF(tblTransactions[TransactionID],tblSettlement[[#This Row],[TransactionID]])=0), " R7 - Orphan Settlement", "")</f>
        <v/>
      </c>
    </row>
    <row r="351" spans="1:6" x14ac:dyDescent="0.3">
      <c r="A351" t="s">
        <v>1828</v>
      </c>
      <c r="B351" t="s">
        <v>1229</v>
      </c>
      <c r="C351" s="2">
        <v>46266.664583333331</v>
      </c>
      <c r="D351" s="6">
        <v>49662.74</v>
      </c>
      <c r="E351" t="s">
        <v>1479</v>
      </c>
      <c r="F351" t="str">
        <f>IF(AND(tblSettlement[[#This Row],[TransactionID]]&lt;&gt;"", COUNTIF(tblTransactions[TransactionID],tblSettlement[[#This Row],[TransactionID]])=0), " R7 - Orphan Settlement", "")</f>
        <v/>
      </c>
    </row>
    <row r="352" spans="1:6" x14ac:dyDescent="0.3">
      <c r="A352" t="s">
        <v>1829</v>
      </c>
      <c r="B352" t="s">
        <v>1232</v>
      </c>
      <c r="C352" s="2">
        <v>46252.436111111114</v>
      </c>
      <c r="D352" s="6">
        <v>3485.12</v>
      </c>
      <c r="E352" t="s">
        <v>1479</v>
      </c>
      <c r="F352" t="str">
        <f>IF(AND(tblSettlement[[#This Row],[TransactionID]]&lt;&gt;"", COUNTIF(tblTransactions[TransactionID],tblSettlement[[#This Row],[TransactionID]])=0), " R7 - Orphan Settlement", "")</f>
        <v/>
      </c>
    </row>
    <row r="353" spans="1:6" x14ac:dyDescent="0.3">
      <c r="A353" t="s">
        <v>1830</v>
      </c>
      <c r="B353" t="s">
        <v>1235</v>
      </c>
      <c r="C353" s="2">
        <v>46225.863888888889</v>
      </c>
      <c r="D353" s="6">
        <v>50143.27</v>
      </c>
      <c r="E353" t="s">
        <v>1479</v>
      </c>
      <c r="F353" t="str">
        <f>IF(AND(tblSettlement[[#This Row],[TransactionID]]&lt;&gt;"", COUNTIF(tblTransactions[TransactionID],tblSettlement[[#This Row],[TransactionID]])=0), " R7 - Orphan Settlement", "")</f>
        <v/>
      </c>
    </row>
    <row r="354" spans="1:6" x14ac:dyDescent="0.3">
      <c r="A354" t="s">
        <v>1831</v>
      </c>
      <c r="B354" t="s">
        <v>1238</v>
      </c>
      <c r="C354" s="2">
        <v>46275.370138888888</v>
      </c>
      <c r="D354" s="6">
        <v>29186.18</v>
      </c>
      <c r="E354" t="s">
        <v>1479</v>
      </c>
      <c r="F354" t="str">
        <f>IF(AND(tblSettlement[[#This Row],[TransactionID]]&lt;&gt;"", COUNTIF(tblTransactions[TransactionID],tblSettlement[[#This Row],[TransactionID]])=0), " R7 - Orphan Settlement", "")</f>
        <v/>
      </c>
    </row>
    <row r="355" spans="1:6" x14ac:dyDescent="0.3">
      <c r="A355" t="s">
        <v>1832</v>
      </c>
      <c r="B355" t="s">
        <v>1241</v>
      </c>
      <c r="C355" s="2">
        <v>46267.503472222219</v>
      </c>
      <c r="D355" s="6">
        <v>29761.63</v>
      </c>
      <c r="E355" t="s">
        <v>1479</v>
      </c>
      <c r="F355" t="str">
        <f>IF(AND(tblSettlement[[#This Row],[TransactionID]]&lt;&gt;"", COUNTIF(tblTransactions[TransactionID],tblSettlement[[#This Row],[TransactionID]])=0), " R7 - Orphan Settlement", "")</f>
        <v/>
      </c>
    </row>
    <row r="356" spans="1:6" x14ac:dyDescent="0.3">
      <c r="A356" t="s">
        <v>1833</v>
      </c>
      <c r="B356" t="s">
        <v>1247</v>
      </c>
      <c r="C356" s="2">
        <v>46231.841666666667</v>
      </c>
      <c r="D356" s="6">
        <v>9682.4</v>
      </c>
      <c r="E356" t="s">
        <v>1479</v>
      </c>
      <c r="F356" t="str">
        <f>IF(AND(tblSettlement[[#This Row],[TransactionID]]&lt;&gt;"", COUNTIF(tblTransactions[TransactionID],tblSettlement[[#This Row],[TransactionID]])=0), " R7 - Orphan Settlement", "")</f>
        <v/>
      </c>
    </row>
    <row r="357" spans="1:6" x14ac:dyDescent="0.3">
      <c r="A357" t="s">
        <v>1834</v>
      </c>
      <c r="B357" t="s">
        <v>1253</v>
      </c>
      <c r="C357" s="2">
        <v>46275.57916666667</v>
      </c>
      <c r="D357" s="6">
        <v>20896.009999999998</v>
      </c>
      <c r="E357" t="s">
        <v>1479</v>
      </c>
      <c r="F357" t="str">
        <f>IF(AND(tblSettlement[[#This Row],[TransactionID]]&lt;&gt;"", COUNTIF(tblTransactions[TransactionID],tblSettlement[[#This Row],[TransactionID]])=0), " R7 - Orphan Settlement", "")</f>
        <v/>
      </c>
    </row>
    <row r="358" spans="1:6" x14ac:dyDescent="0.3">
      <c r="A358" t="s">
        <v>1835</v>
      </c>
      <c r="B358" t="s">
        <v>1256</v>
      </c>
      <c r="C358" s="2">
        <v>46218.589583333334</v>
      </c>
      <c r="D358" s="6">
        <v>11327.93</v>
      </c>
      <c r="E358" t="s">
        <v>1479</v>
      </c>
      <c r="F358" t="str">
        <f>IF(AND(tblSettlement[[#This Row],[TransactionID]]&lt;&gt;"", COUNTIF(tblTransactions[TransactionID],tblSettlement[[#This Row],[TransactionID]])=0), " R7 - Orphan Settlement", "")</f>
        <v/>
      </c>
    </row>
    <row r="359" spans="1:6" x14ac:dyDescent="0.3">
      <c r="A359" t="s">
        <v>1836</v>
      </c>
      <c r="B359" t="s">
        <v>1259</v>
      </c>
      <c r="C359" s="2">
        <v>46240.898611111108</v>
      </c>
      <c r="D359" s="6">
        <v>66040.149999999994</v>
      </c>
      <c r="E359" t="s">
        <v>1479</v>
      </c>
      <c r="F359" t="str">
        <f>IF(AND(tblSettlement[[#This Row],[TransactionID]]&lt;&gt;"", COUNTIF(tblTransactions[TransactionID],tblSettlement[[#This Row],[TransactionID]])=0), " R7 - Orphan Settlement", "")</f>
        <v/>
      </c>
    </row>
    <row r="360" spans="1:6" x14ac:dyDescent="0.3">
      <c r="A360" t="s">
        <v>1837</v>
      </c>
      <c r="B360" t="s">
        <v>1262</v>
      </c>
      <c r="C360" s="2">
        <v>46210.428472222222</v>
      </c>
      <c r="D360" s="6">
        <v>30372.3</v>
      </c>
      <c r="E360" t="s">
        <v>1479</v>
      </c>
      <c r="F360" t="str">
        <f>IF(AND(tblSettlement[[#This Row],[TransactionID]]&lt;&gt;"", COUNTIF(tblTransactions[TransactionID],tblSettlement[[#This Row],[TransactionID]])=0), " R7 - Orphan Settlement", "")</f>
        <v/>
      </c>
    </row>
    <row r="361" spans="1:6" x14ac:dyDescent="0.3">
      <c r="A361" t="s">
        <v>1838</v>
      </c>
      <c r="B361" t="s">
        <v>1267</v>
      </c>
      <c r="C361" s="2">
        <v>46244.536805555559</v>
      </c>
      <c r="D361" s="6">
        <v>37248.54</v>
      </c>
      <c r="E361" t="s">
        <v>1479</v>
      </c>
      <c r="F361" t="str">
        <f>IF(AND(tblSettlement[[#This Row],[TransactionID]]&lt;&gt;"", COUNTIF(tblTransactions[TransactionID],tblSettlement[[#This Row],[TransactionID]])=0), " R7 - Orphan Settlement", "")</f>
        <v/>
      </c>
    </row>
    <row r="362" spans="1:6" x14ac:dyDescent="0.3">
      <c r="A362" t="s">
        <v>1839</v>
      </c>
      <c r="B362" t="s">
        <v>1270</v>
      </c>
      <c r="C362" s="2">
        <v>46245.531944444447</v>
      </c>
      <c r="D362" s="6">
        <v>31403.759999999998</v>
      </c>
      <c r="E362" t="s">
        <v>1479</v>
      </c>
      <c r="F362" t="str">
        <f>IF(AND(tblSettlement[[#This Row],[TransactionID]]&lt;&gt;"", COUNTIF(tblTransactions[TransactionID],tblSettlement[[#This Row],[TransactionID]])=0), " R7 - Orphan Settlement", "")</f>
        <v/>
      </c>
    </row>
    <row r="363" spans="1:6" x14ac:dyDescent="0.3">
      <c r="A363" t="s">
        <v>1840</v>
      </c>
      <c r="B363" t="s">
        <v>1273</v>
      </c>
      <c r="C363" s="2">
        <v>46266.856249999997</v>
      </c>
      <c r="D363" s="6">
        <v>65072.38</v>
      </c>
      <c r="E363" t="s">
        <v>1479</v>
      </c>
      <c r="F363" t="str">
        <f>IF(AND(tblSettlement[[#This Row],[TransactionID]]&lt;&gt;"", COUNTIF(tblTransactions[TransactionID],tblSettlement[[#This Row],[TransactionID]])=0), " R7 - Orphan Settlement", "")</f>
        <v/>
      </c>
    </row>
    <row r="364" spans="1:6" x14ac:dyDescent="0.3">
      <c r="A364" t="s">
        <v>1841</v>
      </c>
      <c r="B364" t="s">
        <v>1275</v>
      </c>
      <c r="C364" s="2">
        <v>46258.450694444444</v>
      </c>
      <c r="D364" s="6">
        <v>63884.33</v>
      </c>
      <c r="E364" t="s">
        <v>1479</v>
      </c>
      <c r="F364" t="str">
        <f>IF(AND(tblSettlement[[#This Row],[TransactionID]]&lt;&gt;"", COUNTIF(tblTransactions[TransactionID],tblSettlement[[#This Row],[TransactionID]])=0), " R7 - Orphan Settlement", "")</f>
        <v/>
      </c>
    </row>
    <row r="365" spans="1:6" x14ac:dyDescent="0.3">
      <c r="A365" t="s">
        <v>1842</v>
      </c>
      <c r="B365" t="s">
        <v>1281</v>
      </c>
      <c r="C365" s="2">
        <v>46268.611111111109</v>
      </c>
      <c r="D365" s="6">
        <v>69249.75</v>
      </c>
      <c r="E365" t="s">
        <v>1479</v>
      </c>
      <c r="F365" t="str">
        <f>IF(AND(tblSettlement[[#This Row],[TransactionID]]&lt;&gt;"", COUNTIF(tblTransactions[TransactionID],tblSettlement[[#This Row],[TransactionID]])=0), " R7 - Orphan Settlement", "")</f>
        <v/>
      </c>
    </row>
    <row r="366" spans="1:6" x14ac:dyDescent="0.3">
      <c r="A366" t="s">
        <v>1843</v>
      </c>
      <c r="B366" t="s">
        <v>1284</v>
      </c>
      <c r="C366" s="2">
        <v>46228.895833333336</v>
      </c>
      <c r="D366" s="6">
        <v>44119.3</v>
      </c>
      <c r="E366" t="s">
        <v>1479</v>
      </c>
      <c r="F366" t="str">
        <f>IF(AND(tblSettlement[[#This Row],[TransactionID]]&lt;&gt;"", COUNTIF(tblTransactions[TransactionID],tblSettlement[[#This Row],[TransactionID]])=0), " R7 - Orphan Settlement", "")</f>
        <v/>
      </c>
    </row>
    <row r="367" spans="1:6" x14ac:dyDescent="0.3">
      <c r="A367" t="s">
        <v>1844</v>
      </c>
      <c r="B367" t="s">
        <v>1287</v>
      </c>
      <c r="C367" s="2">
        <v>46240.35</v>
      </c>
      <c r="D367" s="6">
        <v>3961.42</v>
      </c>
      <c r="E367" t="s">
        <v>1479</v>
      </c>
      <c r="F367" t="str">
        <f>IF(AND(tblSettlement[[#This Row],[TransactionID]]&lt;&gt;"", COUNTIF(tblTransactions[TransactionID],tblSettlement[[#This Row],[TransactionID]])=0), " R7 - Orphan Settlement", "")</f>
        <v/>
      </c>
    </row>
    <row r="368" spans="1:6" x14ac:dyDescent="0.3">
      <c r="A368" t="s">
        <v>1845</v>
      </c>
      <c r="B368" t="s">
        <v>1290</v>
      </c>
      <c r="C368" s="2">
        <v>46240.768055555556</v>
      </c>
      <c r="D368" s="6">
        <v>38617.769999999997</v>
      </c>
      <c r="E368" t="s">
        <v>1479</v>
      </c>
      <c r="F368" t="str">
        <f>IF(AND(tblSettlement[[#This Row],[TransactionID]]&lt;&gt;"", COUNTIF(tblTransactions[TransactionID],tblSettlement[[#This Row],[TransactionID]])=0), " R7 - Orphan Settlement", "")</f>
        <v/>
      </c>
    </row>
    <row r="369" spans="1:6" x14ac:dyDescent="0.3">
      <c r="A369" t="s">
        <v>1846</v>
      </c>
      <c r="B369" t="s">
        <v>1293</v>
      </c>
      <c r="C369" s="2">
        <v>46288.443055555559</v>
      </c>
      <c r="D369" s="6">
        <v>60114.64</v>
      </c>
      <c r="E369" t="s">
        <v>1479</v>
      </c>
      <c r="F369" t="str">
        <f>IF(AND(tblSettlement[[#This Row],[TransactionID]]&lt;&gt;"", COUNTIF(tblTransactions[TransactionID],tblSettlement[[#This Row],[TransactionID]])=0), " R7 - Orphan Settlement", "")</f>
        <v/>
      </c>
    </row>
    <row r="370" spans="1:6" x14ac:dyDescent="0.3">
      <c r="A370" t="s">
        <v>1847</v>
      </c>
      <c r="B370" t="s">
        <v>1296</v>
      </c>
      <c r="C370" s="2">
        <v>46261.933333333334</v>
      </c>
      <c r="D370" s="6">
        <v>63906.07</v>
      </c>
      <c r="E370" t="s">
        <v>1479</v>
      </c>
      <c r="F370" t="str">
        <f>IF(AND(tblSettlement[[#This Row],[TransactionID]]&lt;&gt;"", COUNTIF(tblTransactions[TransactionID],tblSettlement[[#This Row],[TransactionID]])=0), " R7 - Orphan Settlement", "")</f>
        <v/>
      </c>
    </row>
    <row r="371" spans="1:6" x14ac:dyDescent="0.3">
      <c r="A371" t="s">
        <v>1848</v>
      </c>
      <c r="B371" t="s">
        <v>1299</v>
      </c>
      <c r="C371" s="2">
        <v>46283.609027777777</v>
      </c>
      <c r="D371" s="6">
        <v>7897.83</v>
      </c>
      <c r="E371" t="s">
        <v>1479</v>
      </c>
      <c r="F371" t="str">
        <f>IF(AND(tblSettlement[[#This Row],[TransactionID]]&lt;&gt;"", COUNTIF(tblTransactions[TransactionID],tblSettlement[[#This Row],[TransactionID]])=0), " R7 - Orphan Settlement", "")</f>
        <v/>
      </c>
    </row>
    <row r="372" spans="1:6" x14ac:dyDescent="0.3">
      <c r="A372" t="s">
        <v>1849</v>
      </c>
      <c r="B372" t="s">
        <v>1302</v>
      </c>
      <c r="C372" s="2">
        <v>46243.754166666666</v>
      </c>
      <c r="D372" s="6">
        <v>36259.949999999997</v>
      </c>
      <c r="E372" t="s">
        <v>1479</v>
      </c>
      <c r="F372" t="str">
        <f>IF(AND(tblSettlement[[#This Row],[TransactionID]]&lt;&gt;"", COUNTIF(tblTransactions[TransactionID],tblSettlement[[#This Row],[TransactionID]])=0), " R7 - Orphan Settlement", "")</f>
        <v/>
      </c>
    </row>
    <row r="373" spans="1:6" x14ac:dyDescent="0.3">
      <c r="A373" t="s">
        <v>1850</v>
      </c>
      <c r="B373" t="s">
        <v>1305</v>
      </c>
      <c r="C373" s="2">
        <v>46288.831250000003</v>
      </c>
      <c r="D373" s="6">
        <v>48947.12</v>
      </c>
      <c r="E373" t="s">
        <v>1479</v>
      </c>
      <c r="F373" t="str">
        <f>IF(AND(tblSettlement[[#This Row],[TransactionID]]&lt;&gt;"", COUNTIF(tblTransactions[TransactionID],tblSettlement[[#This Row],[TransactionID]])=0), " R7 - Orphan Settlement", "")</f>
        <v/>
      </c>
    </row>
    <row r="374" spans="1:6" x14ac:dyDescent="0.3">
      <c r="A374" t="s">
        <v>1851</v>
      </c>
      <c r="B374" t="s">
        <v>1308</v>
      </c>
      <c r="C374" s="2">
        <v>46289.571527777778</v>
      </c>
      <c r="D374" s="6">
        <v>10709.73</v>
      </c>
      <c r="E374" t="s">
        <v>1479</v>
      </c>
      <c r="F374" t="str">
        <f>IF(AND(tblSettlement[[#This Row],[TransactionID]]&lt;&gt;"", COUNTIF(tblTransactions[TransactionID],tblSettlement[[#This Row],[TransactionID]])=0), " R7 - Orphan Settlement", "")</f>
        <v/>
      </c>
    </row>
    <row r="375" spans="1:6" x14ac:dyDescent="0.3">
      <c r="A375" t="s">
        <v>1852</v>
      </c>
      <c r="B375" t="s">
        <v>1311</v>
      </c>
      <c r="C375" s="2">
        <v>46258.615972222222</v>
      </c>
      <c r="D375" s="6">
        <v>2890.1</v>
      </c>
      <c r="E375" t="s">
        <v>1479</v>
      </c>
      <c r="F375" t="str">
        <f>IF(AND(tblSettlement[[#This Row],[TransactionID]]&lt;&gt;"", COUNTIF(tblTransactions[TransactionID],tblSettlement[[#This Row],[TransactionID]])=0), " R7 - Orphan Settlement", "")</f>
        <v/>
      </c>
    </row>
    <row r="376" spans="1:6" x14ac:dyDescent="0.3">
      <c r="A376" t="s">
        <v>1853</v>
      </c>
      <c r="B376" t="s">
        <v>1317</v>
      </c>
      <c r="C376" s="2">
        <v>46290.940972222219</v>
      </c>
      <c r="D376" s="6">
        <v>13789.91</v>
      </c>
      <c r="E376" t="s">
        <v>1479</v>
      </c>
      <c r="F376" t="str">
        <f>IF(AND(tblSettlement[[#This Row],[TransactionID]]&lt;&gt;"", COUNTIF(tblTransactions[TransactionID],tblSettlement[[#This Row],[TransactionID]])=0), " R7 - Orphan Settlement", "")</f>
        <v/>
      </c>
    </row>
    <row r="377" spans="1:6" x14ac:dyDescent="0.3">
      <c r="A377" t="s">
        <v>1854</v>
      </c>
      <c r="B377" t="s">
        <v>1320</v>
      </c>
      <c r="C377" s="2">
        <v>46292.931250000001</v>
      </c>
      <c r="D377" s="6">
        <v>49168.99</v>
      </c>
      <c r="E377" t="s">
        <v>1479</v>
      </c>
      <c r="F377" t="str">
        <f>IF(AND(tblSettlement[[#This Row],[TransactionID]]&lt;&gt;"", COUNTIF(tblTransactions[TransactionID],tblSettlement[[#This Row],[TransactionID]])=0), " R7 - Orphan Settlement", "")</f>
        <v/>
      </c>
    </row>
    <row r="378" spans="1:6" x14ac:dyDescent="0.3">
      <c r="A378" t="s">
        <v>1855</v>
      </c>
      <c r="B378" t="s">
        <v>1323</v>
      </c>
      <c r="C378" s="2">
        <v>46252.525694444441</v>
      </c>
      <c r="D378" s="6">
        <v>22230.32</v>
      </c>
      <c r="E378" t="s">
        <v>1479</v>
      </c>
      <c r="F378" t="str">
        <f>IF(AND(tblSettlement[[#This Row],[TransactionID]]&lt;&gt;"", COUNTIF(tblTransactions[TransactionID],tblSettlement[[#This Row],[TransactionID]])=0), " R7 - Orphan Settlement", "")</f>
        <v/>
      </c>
    </row>
    <row r="379" spans="1:6" x14ac:dyDescent="0.3">
      <c r="A379" t="s">
        <v>1856</v>
      </c>
      <c r="B379" t="s">
        <v>1326</v>
      </c>
      <c r="C379" s="2">
        <v>46265.925000000003</v>
      </c>
      <c r="D379" s="6">
        <v>37660.68</v>
      </c>
      <c r="E379" t="s">
        <v>1479</v>
      </c>
      <c r="F379" t="str">
        <f>IF(AND(tblSettlement[[#This Row],[TransactionID]]&lt;&gt;"", COUNTIF(tblTransactions[TransactionID],tblSettlement[[#This Row],[TransactionID]])=0), " R7 - Orphan Settlement", "")</f>
        <v/>
      </c>
    </row>
    <row r="380" spans="1:6" x14ac:dyDescent="0.3">
      <c r="A380" t="s">
        <v>1857</v>
      </c>
      <c r="B380" t="s">
        <v>1332</v>
      </c>
      <c r="C380" s="2">
        <v>46215.63958333333</v>
      </c>
      <c r="D380" s="6">
        <v>47419.7</v>
      </c>
      <c r="E380" t="s">
        <v>1479</v>
      </c>
      <c r="F380" t="str">
        <f>IF(AND(tblSettlement[[#This Row],[TransactionID]]&lt;&gt;"", COUNTIF(tblTransactions[TransactionID],tblSettlement[[#This Row],[TransactionID]])=0), " R7 - Orphan Settlement", "")</f>
        <v/>
      </c>
    </row>
    <row r="381" spans="1:6" x14ac:dyDescent="0.3">
      <c r="A381" t="s">
        <v>1858</v>
      </c>
      <c r="B381" t="s">
        <v>1334</v>
      </c>
      <c r="C381" s="2">
        <v>46231.867361111108</v>
      </c>
      <c r="D381" s="6">
        <v>12853.28</v>
      </c>
      <c r="E381" t="s">
        <v>1479</v>
      </c>
      <c r="F381" t="str">
        <f>IF(AND(tblSettlement[[#This Row],[TransactionID]]&lt;&gt;"", COUNTIF(tblTransactions[TransactionID],tblSettlement[[#This Row],[TransactionID]])=0), " R7 - Orphan Settlement", "")</f>
        <v/>
      </c>
    </row>
    <row r="382" spans="1:6" x14ac:dyDescent="0.3">
      <c r="A382" t="s">
        <v>1859</v>
      </c>
      <c r="B382" t="s">
        <v>1337</v>
      </c>
      <c r="C382" s="2">
        <v>46285.600694444445</v>
      </c>
      <c r="D382" s="6">
        <v>32319.65</v>
      </c>
      <c r="E382" t="s">
        <v>1479</v>
      </c>
      <c r="F382" t="str">
        <f>IF(AND(tblSettlement[[#This Row],[TransactionID]]&lt;&gt;"", COUNTIF(tblTransactions[TransactionID],tblSettlement[[#This Row],[TransactionID]])=0), " R7 - Orphan Settlement", "")</f>
        <v/>
      </c>
    </row>
    <row r="383" spans="1:6" x14ac:dyDescent="0.3">
      <c r="A383" t="s">
        <v>1860</v>
      </c>
      <c r="B383" t="s">
        <v>1340</v>
      </c>
      <c r="C383" s="2">
        <v>46206.930555555555</v>
      </c>
      <c r="D383" s="6">
        <v>56824.37</v>
      </c>
      <c r="E383" t="s">
        <v>1479</v>
      </c>
      <c r="F383" t="str">
        <f>IF(AND(tblSettlement[[#This Row],[TransactionID]]&lt;&gt;"", COUNTIF(tblTransactions[TransactionID],tblSettlement[[#This Row],[TransactionID]])=0), " R7 - Orphan Settlement", "")</f>
        <v/>
      </c>
    </row>
    <row r="384" spans="1:6" x14ac:dyDescent="0.3">
      <c r="A384" t="s">
        <v>1861</v>
      </c>
      <c r="B384" t="s">
        <v>1343</v>
      </c>
      <c r="C384" s="2">
        <v>46235.830555555556</v>
      </c>
      <c r="D384" s="6">
        <v>25990.15</v>
      </c>
      <c r="E384" t="s">
        <v>1479</v>
      </c>
      <c r="F384" t="str">
        <f>IF(AND(tblSettlement[[#This Row],[TransactionID]]&lt;&gt;"", COUNTIF(tblTransactions[TransactionID],tblSettlement[[#This Row],[TransactionID]])=0), " R7 - Orphan Settlement", "")</f>
        <v/>
      </c>
    </row>
    <row r="385" spans="1:6" x14ac:dyDescent="0.3">
      <c r="A385" t="s">
        <v>1862</v>
      </c>
      <c r="B385" t="s">
        <v>1346</v>
      </c>
      <c r="C385" s="2">
        <v>46214.876388888886</v>
      </c>
      <c r="D385" s="6">
        <v>22540.62</v>
      </c>
      <c r="E385" t="s">
        <v>1479</v>
      </c>
      <c r="F385" t="str">
        <f>IF(AND(tblSettlement[[#This Row],[TransactionID]]&lt;&gt;"", COUNTIF(tblTransactions[TransactionID],tblSettlement[[#This Row],[TransactionID]])=0), " R7 - Orphan Settlement", "")</f>
        <v/>
      </c>
    </row>
    <row r="386" spans="1:6" x14ac:dyDescent="0.3">
      <c r="A386" t="s">
        <v>1863</v>
      </c>
      <c r="B386" t="s">
        <v>1349</v>
      </c>
      <c r="C386" s="2">
        <v>46260.946527777778</v>
      </c>
      <c r="D386" s="6">
        <v>74661.56</v>
      </c>
      <c r="E386" t="s">
        <v>1479</v>
      </c>
      <c r="F386" t="str">
        <f>IF(AND(tblSettlement[[#This Row],[TransactionID]]&lt;&gt;"", COUNTIF(tblTransactions[TransactionID],tblSettlement[[#This Row],[TransactionID]])=0), " R7 - Orphan Settlement", "")</f>
        <v/>
      </c>
    </row>
    <row r="387" spans="1:6" x14ac:dyDescent="0.3">
      <c r="A387" t="s">
        <v>1864</v>
      </c>
      <c r="B387" t="s">
        <v>1355</v>
      </c>
      <c r="C387" s="2">
        <v>46221.572916666664</v>
      </c>
      <c r="D387" s="6">
        <v>48877.89</v>
      </c>
      <c r="E387" t="s">
        <v>1479</v>
      </c>
      <c r="F387" t="str">
        <f>IF(AND(tblSettlement[[#This Row],[TransactionID]]&lt;&gt;"", COUNTIF(tblTransactions[TransactionID],tblSettlement[[#This Row],[TransactionID]])=0), " R7 - Orphan Settlement", "")</f>
        <v/>
      </c>
    </row>
    <row r="388" spans="1:6" x14ac:dyDescent="0.3">
      <c r="A388" t="s">
        <v>1865</v>
      </c>
      <c r="B388" t="s">
        <v>1358</v>
      </c>
      <c r="C388" s="2">
        <v>46281.362500000003</v>
      </c>
      <c r="D388" s="6">
        <v>8331.48</v>
      </c>
      <c r="E388" t="s">
        <v>1479</v>
      </c>
      <c r="F388" t="str">
        <f>IF(AND(tblSettlement[[#This Row],[TransactionID]]&lt;&gt;"", COUNTIF(tblTransactions[TransactionID],tblSettlement[[#This Row],[TransactionID]])=0), " R7 - Orphan Settlement", "")</f>
        <v/>
      </c>
    </row>
    <row r="389" spans="1:6" x14ac:dyDescent="0.3">
      <c r="A389" t="s">
        <v>1866</v>
      </c>
      <c r="B389" t="s">
        <v>1361</v>
      </c>
      <c r="C389" s="2">
        <v>46219.677777777775</v>
      </c>
      <c r="D389" s="6">
        <v>35711.129999999997</v>
      </c>
      <c r="E389" t="s">
        <v>1479</v>
      </c>
      <c r="F389" t="str">
        <f>IF(AND(tblSettlement[[#This Row],[TransactionID]]&lt;&gt;"", COUNTIF(tblTransactions[TransactionID],tblSettlement[[#This Row],[TransactionID]])=0), " R7 - Orphan Settlement", "")</f>
        <v/>
      </c>
    </row>
    <row r="390" spans="1:6" x14ac:dyDescent="0.3">
      <c r="A390" t="s">
        <v>1867</v>
      </c>
      <c r="B390" t="s">
        <v>1363</v>
      </c>
      <c r="C390" s="2">
        <v>46291.678472222222</v>
      </c>
      <c r="D390" s="6">
        <v>46804.13</v>
      </c>
      <c r="E390" t="s">
        <v>1479</v>
      </c>
      <c r="F390" t="str">
        <f>IF(AND(tblSettlement[[#This Row],[TransactionID]]&lt;&gt;"", COUNTIF(tblTransactions[TransactionID],tblSettlement[[#This Row],[TransactionID]])=0), " R7 - Orphan Settlement", "")</f>
        <v/>
      </c>
    </row>
    <row r="391" spans="1:6" x14ac:dyDescent="0.3">
      <c r="A391" t="s">
        <v>1868</v>
      </c>
      <c r="B391" t="s">
        <v>1366</v>
      </c>
      <c r="C391" s="2">
        <v>46243.409722222219</v>
      </c>
      <c r="D391" s="6">
        <v>8193.2099999999991</v>
      </c>
      <c r="E391" t="s">
        <v>1479</v>
      </c>
      <c r="F391" t="str">
        <f>IF(AND(tblSettlement[[#This Row],[TransactionID]]&lt;&gt;"", COUNTIF(tblTransactions[TransactionID],tblSettlement[[#This Row],[TransactionID]])=0), " R7 - Orphan Settlement", "")</f>
        <v/>
      </c>
    </row>
    <row r="392" spans="1:6" x14ac:dyDescent="0.3">
      <c r="A392" t="s">
        <v>1869</v>
      </c>
      <c r="B392" t="s">
        <v>1369</v>
      </c>
      <c r="C392" s="2">
        <v>46250.80972222222</v>
      </c>
      <c r="D392" s="6">
        <v>22327.5</v>
      </c>
      <c r="E392" t="s">
        <v>1479</v>
      </c>
      <c r="F392" t="str">
        <f>IF(AND(tblSettlement[[#This Row],[TransactionID]]&lt;&gt;"", COUNTIF(tblTransactions[TransactionID],tblSettlement[[#This Row],[TransactionID]])=0), " R7 - Orphan Settlement", "")</f>
        <v/>
      </c>
    </row>
    <row r="393" spans="1:6" x14ac:dyDescent="0.3">
      <c r="A393" t="s">
        <v>1870</v>
      </c>
      <c r="B393" t="s">
        <v>1372</v>
      </c>
      <c r="C393" s="2">
        <v>46246.458333333336</v>
      </c>
      <c r="D393" s="6">
        <v>1203.02</v>
      </c>
      <c r="E393" t="s">
        <v>1479</v>
      </c>
      <c r="F393" t="str">
        <f>IF(AND(tblSettlement[[#This Row],[TransactionID]]&lt;&gt;"", COUNTIF(tblTransactions[TransactionID],tblSettlement[[#This Row],[TransactionID]])=0), " R7 - Orphan Settlement", "")</f>
        <v/>
      </c>
    </row>
    <row r="394" spans="1:6" x14ac:dyDescent="0.3">
      <c r="A394" t="s">
        <v>1871</v>
      </c>
      <c r="B394" t="s">
        <v>1375</v>
      </c>
      <c r="C394" s="2">
        <v>46216.855555555558</v>
      </c>
      <c r="D394" s="6">
        <v>5859.85</v>
      </c>
      <c r="E394" t="s">
        <v>1479</v>
      </c>
      <c r="F394" t="str">
        <f>IF(AND(tblSettlement[[#This Row],[TransactionID]]&lt;&gt;"", COUNTIF(tblTransactions[TransactionID],tblSettlement[[#This Row],[TransactionID]])=0), " R7 - Orphan Settlement", "")</f>
        <v/>
      </c>
    </row>
    <row r="395" spans="1:6" x14ac:dyDescent="0.3">
      <c r="A395" t="s">
        <v>1872</v>
      </c>
      <c r="B395" t="s">
        <v>1378</v>
      </c>
      <c r="C395" s="2">
        <v>46238.627083333333</v>
      </c>
      <c r="D395" s="6">
        <v>7710.72</v>
      </c>
      <c r="E395" t="s">
        <v>1479</v>
      </c>
      <c r="F395" t="str">
        <f>IF(AND(tblSettlement[[#This Row],[TransactionID]]&lt;&gt;"", COUNTIF(tblTransactions[TransactionID],tblSettlement[[#This Row],[TransactionID]])=0), " R7 - Orphan Settlement", "")</f>
        <v/>
      </c>
    </row>
    <row r="396" spans="1:6" x14ac:dyDescent="0.3">
      <c r="A396" t="s">
        <v>1873</v>
      </c>
      <c r="B396" t="s">
        <v>1380</v>
      </c>
      <c r="C396" s="2">
        <v>46261.796527777777</v>
      </c>
      <c r="D396" s="6">
        <v>7351.14</v>
      </c>
      <c r="E396" t="s">
        <v>1479</v>
      </c>
      <c r="F396" t="str">
        <f>IF(AND(tblSettlement[[#This Row],[TransactionID]]&lt;&gt;"", COUNTIF(tblTransactions[TransactionID],tblSettlement[[#This Row],[TransactionID]])=0), " R7 - Orphan Settlement", "")</f>
        <v/>
      </c>
    </row>
    <row r="397" spans="1:6" x14ac:dyDescent="0.3">
      <c r="A397" t="s">
        <v>1874</v>
      </c>
      <c r="B397" t="s">
        <v>1383</v>
      </c>
      <c r="C397" s="2">
        <v>46248.581250000003</v>
      </c>
      <c r="D397" s="6">
        <v>32969.160000000003</v>
      </c>
      <c r="E397" t="s">
        <v>1479</v>
      </c>
      <c r="F397" t="str">
        <f>IF(AND(tblSettlement[[#This Row],[TransactionID]]&lt;&gt;"", COUNTIF(tblTransactions[TransactionID],tblSettlement[[#This Row],[TransactionID]])=0), " R7 - Orphan Settlement", "")</f>
        <v/>
      </c>
    </row>
    <row r="398" spans="1:6" x14ac:dyDescent="0.3">
      <c r="A398" t="s">
        <v>1875</v>
      </c>
      <c r="B398" t="s">
        <v>1386</v>
      </c>
      <c r="C398" s="2">
        <v>46230.392361111109</v>
      </c>
      <c r="D398" s="6">
        <v>30168.7</v>
      </c>
      <c r="E398" t="s">
        <v>1479</v>
      </c>
      <c r="F398" t="str">
        <f>IF(AND(tblSettlement[[#This Row],[TransactionID]]&lt;&gt;"", COUNTIF(tblTransactions[TransactionID],tblSettlement[[#This Row],[TransactionID]])=0), " R7 - Orphan Settlement", "")</f>
        <v/>
      </c>
    </row>
    <row r="399" spans="1:6" x14ac:dyDescent="0.3">
      <c r="A399" t="s">
        <v>1876</v>
      </c>
      <c r="B399" t="s">
        <v>1392</v>
      </c>
      <c r="C399" s="2">
        <v>46279.769444444442</v>
      </c>
      <c r="D399" s="6">
        <v>13799.23</v>
      </c>
      <c r="E399" t="s">
        <v>1479</v>
      </c>
      <c r="F399" t="str">
        <f>IF(AND(tblSettlement[[#This Row],[TransactionID]]&lt;&gt;"", COUNTIF(tblTransactions[TransactionID],tblSettlement[[#This Row],[TransactionID]])=0), " R7 - Orphan Settlement", "")</f>
        <v/>
      </c>
    </row>
    <row r="400" spans="1:6" x14ac:dyDescent="0.3">
      <c r="A400" t="s">
        <v>1877</v>
      </c>
      <c r="B400" t="s">
        <v>1394</v>
      </c>
      <c r="C400" s="2">
        <v>46265.938194444447</v>
      </c>
      <c r="D400" s="6">
        <v>8692.08</v>
      </c>
      <c r="E400" t="s">
        <v>1479</v>
      </c>
      <c r="F400" t="str">
        <f>IF(AND(tblSettlement[[#This Row],[TransactionID]]&lt;&gt;"", COUNTIF(tblTransactions[TransactionID],tblSettlement[[#This Row],[TransactionID]])=0), " R7 - Orphan Settlement", "")</f>
        <v/>
      </c>
    </row>
    <row r="401" spans="1:6" x14ac:dyDescent="0.3">
      <c r="A401" t="s">
        <v>1878</v>
      </c>
      <c r="B401" t="s">
        <v>1397</v>
      </c>
      <c r="C401" s="2">
        <v>46205.829861111109</v>
      </c>
      <c r="D401" s="6">
        <v>50925.19</v>
      </c>
      <c r="E401" t="s">
        <v>1479</v>
      </c>
      <c r="F401" t="str">
        <f>IF(AND(tblSettlement[[#This Row],[TransactionID]]&lt;&gt;"", COUNTIF(tblTransactions[TransactionID],tblSettlement[[#This Row],[TransactionID]])=0), " R7 - Orphan Settlement", "")</f>
        <v/>
      </c>
    </row>
    <row r="402" spans="1:6" x14ac:dyDescent="0.3">
      <c r="A402" t="s">
        <v>1879</v>
      </c>
      <c r="B402" t="s">
        <v>1400</v>
      </c>
      <c r="C402" s="2">
        <v>46273.697222222225</v>
      </c>
      <c r="D402" s="6">
        <v>52618.37</v>
      </c>
      <c r="E402" t="s">
        <v>1479</v>
      </c>
      <c r="F402" t="str">
        <f>IF(AND(tblSettlement[[#This Row],[TransactionID]]&lt;&gt;"", COUNTIF(tblTransactions[TransactionID],tblSettlement[[#This Row],[TransactionID]])=0), " R7 - Orphan Settlement", "")</f>
        <v/>
      </c>
    </row>
    <row r="403" spans="1:6" x14ac:dyDescent="0.3">
      <c r="A403" t="s">
        <v>1880</v>
      </c>
      <c r="B403" t="s">
        <v>1406</v>
      </c>
      <c r="C403" s="2">
        <v>46271.895833333336</v>
      </c>
      <c r="D403" s="6">
        <v>63927.37</v>
      </c>
      <c r="E403" t="s">
        <v>1479</v>
      </c>
      <c r="F403" t="str">
        <f>IF(AND(tblSettlement[[#This Row],[TransactionID]]&lt;&gt;"", COUNTIF(tblTransactions[TransactionID],tblSettlement[[#This Row],[TransactionID]])=0), " R7 - Orphan Settlement", "")</f>
        <v/>
      </c>
    </row>
    <row r="404" spans="1:6" x14ac:dyDescent="0.3">
      <c r="A404" t="s">
        <v>1881</v>
      </c>
      <c r="B404" t="s">
        <v>1409</v>
      </c>
      <c r="C404" s="2">
        <v>46239.355555555558</v>
      </c>
      <c r="D404" s="6">
        <v>16897.310000000001</v>
      </c>
      <c r="E404" t="s">
        <v>1479</v>
      </c>
      <c r="F404" t="str">
        <f>IF(AND(tblSettlement[[#This Row],[TransactionID]]&lt;&gt;"", COUNTIF(tblTransactions[TransactionID],tblSettlement[[#This Row],[TransactionID]])=0), " R7 - Orphan Settlement", "")</f>
        <v/>
      </c>
    </row>
    <row r="405" spans="1:6" x14ac:dyDescent="0.3">
      <c r="A405" t="s">
        <v>1882</v>
      </c>
      <c r="B405" t="s">
        <v>1411</v>
      </c>
      <c r="C405" s="2">
        <v>46279.628472222219</v>
      </c>
      <c r="D405" s="6">
        <v>64280.04</v>
      </c>
      <c r="E405" t="s">
        <v>1479</v>
      </c>
      <c r="F405" t="str">
        <f>IF(AND(tblSettlement[[#This Row],[TransactionID]]&lt;&gt;"", COUNTIF(tblTransactions[TransactionID],tblSettlement[[#This Row],[TransactionID]])=0), " R7 - Orphan Settlement", "")</f>
        <v/>
      </c>
    </row>
    <row r="406" spans="1:6" x14ac:dyDescent="0.3">
      <c r="A406" t="s">
        <v>1883</v>
      </c>
      <c r="B406" t="s">
        <v>1414</v>
      </c>
      <c r="C406" s="2">
        <v>46218.601388888892</v>
      </c>
      <c r="D406" s="6">
        <v>2928.44</v>
      </c>
      <c r="E406" t="s">
        <v>1479</v>
      </c>
      <c r="F406" t="str">
        <f>IF(AND(tblSettlement[[#This Row],[TransactionID]]&lt;&gt;"", COUNTIF(tblTransactions[TransactionID],tblSettlement[[#This Row],[TransactionID]])=0), " R7 - Orphan Settlement", "")</f>
        <v/>
      </c>
    </row>
    <row r="407" spans="1:6" x14ac:dyDescent="0.3">
      <c r="A407" t="s">
        <v>1884</v>
      </c>
      <c r="B407" t="s">
        <v>1417</v>
      </c>
      <c r="C407" s="2">
        <v>46269.675694444442</v>
      </c>
      <c r="D407" s="6">
        <v>49181.05</v>
      </c>
      <c r="E407" t="s">
        <v>1479</v>
      </c>
      <c r="F407" t="str">
        <f>IF(AND(tblSettlement[[#This Row],[TransactionID]]&lt;&gt;"", COUNTIF(tblTransactions[TransactionID],tblSettlement[[#This Row],[TransactionID]])=0), " R7 - Orphan Settlement", "")</f>
        <v/>
      </c>
    </row>
    <row r="408" spans="1:6" x14ac:dyDescent="0.3">
      <c r="A408" t="s">
        <v>1885</v>
      </c>
      <c r="B408" t="s">
        <v>1420</v>
      </c>
      <c r="C408" s="2">
        <v>46265.565972222219</v>
      </c>
      <c r="D408" s="6">
        <v>57614.38</v>
      </c>
      <c r="E408" t="s">
        <v>1479</v>
      </c>
      <c r="F408" t="str">
        <f>IF(AND(tblSettlement[[#This Row],[TransactionID]]&lt;&gt;"", COUNTIF(tblTransactions[TransactionID],tblSettlement[[#This Row],[TransactionID]])=0), " R7 - Orphan Settlement", "")</f>
        <v/>
      </c>
    </row>
    <row r="409" spans="1:6" x14ac:dyDescent="0.3">
      <c r="A409" t="s">
        <v>1886</v>
      </c>
      <c r="B409" t="s">
        <v>1423</v>
      </c>
      <c r="C409" s="2">
        <v>46216.862500000003</v>
      </c>
      <c r="D409" s="6">
        <v>16825.599999999999</v>
      </c>
      <c r="E409" t="s">
        <v>1479</v>
      </c>
      <c r="F409" t="str">
        <f>IF(AND(tblSettlement[[#This Row],[TransactionID]]&lt;&gt;"", COUNTIF(tblTransactions[TransactionID],tblSettlement[[#This Row],[TransactionID]])=0), " R7 - Orphan Settlement", "")</f>
        <v/>
      </c>
    </row>
    <row r="410" spans="1:6" x14ac:dyDescent="0.3">
      <c r="A410" t="s">
        <v>1887</v>
      </c>
      <c r="B410" t="s">
        <v>1426</v>
      </c>
      <c r="C410" s="2">
        <v>46294.376388888886</v>
      </c>
      <c r="D410" s="6">
        <v>67291.56</v>
      </c>
      <c r="E410" t="s">
        <v>1479</v>
      </c>
      <c r="F410" t="str">
        <f>IF(AND(tblSettlement[[#This Row],[TransactionID]]&lt;&gt;"", COUNTIF(tblTransactions[TransactionID],tblSettlement[[#This Row],[TransactionID]])=0), " R7 - Orphan Settlement", "")</f>
        <v/>
      </c>
    </row>
    <row r="411" spans="1:6" x14ac:dyDescent="0.3">
      <c r="A411" t="s">
        <v>1888</v>
      </c>
      <c r="B411" t="s">
        <v>1429</v>
      </c>
      <c r="C411" s="2">
        <v>46228.415972222225</v>
      </c>
      <c r="D411" s="6">
        <v>63951.53</v>
      </c>
      <c r="E411" t="s">
        <v>1479</v>
      </c>
      <c r="F411" t="str">
        <f>IF(AND(tblSettlement[[#This Row],[TransactionID]]&lt;&gt;"", COUNTIF(tblTransactions[TransactionID],tblSettlement[[#This Row],[TransactionID]])=0), " R7 - Orphan Settlement", "")</f>
        <v/>
      </c>
    </row>
    <row r="412" spans="1:6" x14ac:dyDescent="0.3">
      <c r="A412" t="s">
        <v>1889</v>
      </c>
      <c r="B412" t="s">
        <v>1432</v>
      </c>
      <c r="C412" s="2">
        <v>46210.944444444445</v>
      </c>
      <c r="D412" s="6">
        <v>62850.6</v>
      </c>
      <c r="E412" t="s">
        <v>1479</v>
      </c>
      <c r="F412" t="str">
        <f>IF(AND(tblSettlement[[#This Row],[TransactionID]]&lt;&gt;"", COUNTIF(tblTransactions[TransactionID],tblSettlement[[#This Row],[TransactionID]])=0), " R7 - Orphan Settlement", "")</f>
        <v/>
      </c>
    </row>
    <row r="413" spans="1:6" x14ac:dyDescent="0.3">
      <c r="A413" t="s">
        <v>1890</v>
      </c>
      <c r="B413" t="s">
        <v>1435</v>
      </c>
      <c r="C413" s="2">
        <v>46223.625</v>
      </c>
      <c r="D413" s="6">
        <v>39894.730000000003</v>
      </c>
      <c r="E413" t="s">
        <v>1479</v>
      </c>
      <c r="F413" t="str">
        <f>IF(AND(tblSettlement[[#This Row],[TransactionID]]&lt;&gt;"", COUNTIF(tblTransactions[TransactionID],tblSettlement[[#This Row],[TransactionID]])=0), " R7 - Orphan Settlement", "")</f>
        <v/>
      </c>
    </row>
    <row r="414" spans="1:6" x14ac:dyDescent="0.3">
      <c r="A414" t="s">
        <v>1891</v>
      </c>
      <c r="B414" t="s">
        <v>1438</v>
      </c>
      <c r="C414" s="2">
        <v>46227.817361111112</v>
      </c>
      <c r="D414" s="6">
        <v>13230.36</v>
      </c>
      <c r="E414" t="s">
        <v>1479</v>
      </c>
      <c r="F414" t="str">
        <f>IF(AND(tblSettlement[[#This Row],[TransactionID]]&lt;&gt;"", COUNTIF(tblTransactions[TransactionID],tblSettlement[[#This Row],[TransactionID]])=0), " R7 - Orphan Settlement", "")</f>
        <v/>
      </c>
    </row>
    <row r="415" spans="1:6" x14ac:dyDescent="0.3">
      <c r="A415" t="s">
        <v>1892</v>
      </c>
      <c r="B415" t="s">
        <v>1441</v>
      </c>
      <c r="C415" s="2">
        <v>46268.933333333334</v>
      </c>
      <c r="D415" s="6">
        <v>31545.19</v>
      </c>
      <c r="E415" t="s">
        <v>1479</v>
      </c>
      <c r="F415" t="str">
        <f>IF(AND(tblSettlement[[#This Row],[TransactionID]]&lt;&gt;"", COUNTIF(tblTransactions[TransactionID],tblSettlement[[#This Row],[TransactionID]])=0), " R7 - Orphan Settlement", "")</f>
        <v/>
      </c>
    </row>
    <row r="416" spans="1:6" x14ac:dyDescent="0.3">
      <c r="A416" t="s">
        <v>1893</v>
      </c>
      <c r="B416" t="s">
        <v>1444</v>
      </c>
      <c r="C416" s="2">
        <v>46241.660416666666</v>
      </c>
      <c r="D416" s="6">
        <v>10219.540000000001</v>
      </c>
      <c r="E416" t="s">
        <v>1479</v>
      </c>
      <c r="F416" t="str">
        <f>IF(AND(tblSettlement[[#This Row],[TransactionID]]&lt;&gt;"", COUNTIF(tblTransactions[TransactionID],tblSettlement[[#This Row],[TransactionID]])=0), " R7 - Orphan Settlement", "")</f>
        <v/>
      </c>
    </row>
    <row r="417" spans="1:6" x14ac:dyDescent="0.3">
      <c r="A417" t="s">
        <v>1894</v>
      </c>
      <c r="B417" t="s">
        <v>1447</v>
      </c>
      <c r="C417" s="2">
        <v>46245.824305555558</v>
      </c>
      <c r="D417" s="6">
        <v>70179.53</v>
      </c>
      <c r="E417" t="s">
        <v>1479</v>
      </c>
      <c r="F417" t="str">
        <f>IF(AND(tblSettlement[[#This Row],[TransactionID]]&lt;&gt;"", COUNTIF(tblTransactions[TransactionID],tblSettlement[[#This Row],[TransactionID]])=0), " R7 - Orphan Settlement", "")</f>
        <v/>
      </c>
    </row>
    <row r="418" spans="1:6" x14ac:dyDescent="0.3">
      <c r="A418" t="s">
        <v>1895</v>
      </c>
      <c r="B418" t="s">
        <v>1453</v>
      </c>
      <c r="C418" s="2">
        <v>46295.408333333333</v>
      </c>
      <c r="D418" s="6">
        <v>26579.78</v>
      </c>
      <c r="E418" t="s">
        <v>1479</v>
      </c>
      <c r="F418" t="str">
        <f>IF(AND(tblSettlement[[#This Row],[TransactionID]]&lt;&gt;"", COUNTIF(tblTransactions[TransactionID],tblSettlement[[#This Row],[TransactionID]])=0), " R7 - Orphan Settlement", "")</f>
        <v/>
      </c>
    </row>
    <row r="419" spans="1:6" x14ac:dyDescent="0.3">
      <c r="A419" t="s">
        <v>1896</v>
      </c>
      <c r="B419" t="s">
        <v>1456</v>
      </c>
      <c r="C419" s="2">
        <v>46241.95416666667</v>
      </c>
      <c r="D419" s="6">
        <v>31823.38</v>
      </c>
      <c r="E419" t="s">
        <v>1479</v>
      </c>
      <c r="F419" t="str">
        <f>IF(AND(tblSettlement[[#This Row],[TransactionID]]&lt;&gt;"", COUNTIF(tblTransactions[TransactionID],tblSettlement[[#This Row],[TransactionID]])=0), " R7 - Orphan Settlement", "")</f>
        <v/>
      </c>
    </row>
    <row r="420" spans="1:6" x14ac:dyDescent="0.3">
      <c r="A420" t="s">
        <v>1897</v>
      </c>
      <c r="B420" t="s">
        <v>1459</v>
      </c>
      <c r="C420" s="2">
        <v>46289.341666666667</v>
      </c>
      <c r="D420" s="6">
        <v>20206.63</v>
      </c>
      <c r="E420" t="s">
        <v>1479</v>
      </c>
      <c r="F420" t="str">
        <f>IF(AND(tblSettlement[[#This Row],[TransactionID]]&lt;&gt;"", COUNTIF(tblTransactions[TransactionID],tblSettlement[[#This Row],[TransactionID]])=0), " R7 - Orphan Settlement", "")</f>
        <v/>
      </c>
    </row>
    <row r="421" spans="1:6" x14ac:dyDescent="0.3">
      <c r="A421" t="s">
        <v>1898</v>
      </c>
      <c r="B421" t="s">
        <v>1462</v>
      </c>
      <c r="C421" s="2">
        <v>46295.845833333333</v>
      </c>
      <c r="D421" s="6">
        <v>15499.07</v>
      </c>
      <c r="E421" t="s">
        <v>1479</v>
      </c>
      <c r="F421" t="str">
        <f>IF(AND(tblSettlement[[#This Row],[TransactionID]]&lt;&gt;"", COUNTIF(tblTransactions[TransactionID],tblSettlement[[#This Row],[TransactionID]])=0), " R7 - Orphan Settlement", "")</f>
        <v/>
      </c>
    </row>
    <row r="422" spans="1:6" x14ac:dyDescent="0.3">
      <c r="A422" t="s">
        <v>1899</v>
      </c>
      <c r="B422" t="s">
        <v>1900</v>
      </c>
      <c r="C422" s="2">
        <v>46240</v>
      </c>
      <c r="D422" s="6">
        <v>12715.83</v>
      </c>
      <c r="E422" t="s">
        <v>1479</v>
      </c>
      <c r="F422" t="str">
        <f>IF(AND(tblSettlement[[#This Row],[TransactionID]]&lt;&gt;"", COUNTIF(tblTransactions[TransactionID],tblSettlement[[#This Row],[TransactionID]])=0), " R7 - Orphan Settlement", "")</f>
        <v xml:space="preserve"> R7 - Orphan Settlement</v>
      </c>
    </row>
    <row r="423" spans="1:6" x14ac:dyDescent="0.3">
      <c r="A423" t="s">
        <v>1901</v>
      </c>
      <c r="B423" t="s">
        <v>1902</v>
      </c>
      <c r="C423" s="2">
        <v>46219</v>
      </c>
      <c r="D423" s="6">
        <v>18021.57</v>
      </c>
      <c r="E423" t="s">
        <v>1479</v>
      </c>
      <c r="F423" t="str">
        <f>IF(AND(tblSettlement[[#This Row],[TransactionID]]&lt;&gt;"", COUNTIF(tblTransactions[TransactionID],tblSettlement[[#This Row],[TransactionID]])=0), " R7 - Orphan Settlement", "")</f>
        <v xml:space="preserve"> R7 - Orphan Settlement</v>
      </c>
    </row>
    <row r="424" spans="1:6" x14ac:dyDescent="0.3">
      <c r="A424" t="s">
        <v>1903</v>
      </c>
      <c r="B424" t="s">
        <v>1904</v>
      </c>
      <c r="C424" s="2">
        <v>46229</v>
      </c>
      <c r="D424" s="6">
        <v>568.89</v>
      </c>
      <c r="E424" t="s">
        <v>1479</v>
      </c>
      <c r="F424" t="str">
        <f>IF(AND(tblSettlement[[#This Row],[TransactionID]]&lt;&gt;"", COUNTIF(tblTransactions[TransactionID],tblSettlement[[#This Row],[TransactionID]])=0), " R7 - Orphan Settlement", "")</f>
        <v xml:space="preserve"> R7 - Orphan Settlement</v>
      </c>
    </row>
    <row r="425" spans="1:6" x14ac:dyDescent="0.3">
      <c r="A425" t="s">
        <v>1905</v>
      </c>
      <c r="B425" t="s">
        <v>1906</v>
      </c>
      <c r="C425" s="2">
        <v>46236</v>
      </c>
      <c r="D425" s="6">
        <v>738.05</v>
      </c>
      <c r="E425" t="s">
        <v>1479</v>
      </c>
      <c r="F425" t="str">
        <f>IF(AND(tblSettlement[[#This Row],[TransactionID]]&lt;&gt;"", COUNTIF(tblTransactions[TransactionID],tblSettlement[[#This Row],[TransactionID]])=0), " R7 - Orphan Settlement", "")</f>
        <v xml:space="preserve"> R7 - Orphan Settlement</v>
      </c>
    </row>
    <row r="426" spans="1:6" x14ac:dyDescent="0.3">
      <c r="A426" t="s">
        <v>1907</v>
      </c>
      <c r="B426" t="s">
        <v>1908</v>
      </c>
      <c r="C426" s="2">
        <v>46267</v>
      </c>
      <c r="D426" s="6">
        <v>17180.52</v>
      </c>
      <c r="E426" t="s">
        <v>1479</v>
      </c>
      <c r="F426" t="str">
        <f>IF(AND(tblSettlement[[#This Row],[TransactionID]]&lt;&gt;"", COUNTIF(tblTransactions[TransactionID],tblSettlement[[#This Row],[TransactionID]])=0), " R7 - Orphan Settlement", "")</f>
        <v xml:space="preserve"> R7 - Orphan Settlement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C2FF-BDE7-4D91-97B4-5B2B3D07E177}">
  <dimension ref="A1:E453"/>
  <sheetViews>
    <sheetView workbookViewId="0">
      <selection activeCell="H25" sqref="H25"/>
    </sheetView>
  </sheetViews>
  <sheetFormatPr defaultRowHeight="14.4" x14ac:dyDescent="0.3"/>
  <cols>
    <col min="1" max="1" width="12.6640625" bestFit="1" customWidth="1"/>
    <col min="2" max="2" width="14.77734375" bestFit="1" customWidth="1"/>
    <col min="3" max="3" width="15.33203125" bestFit="1" customWidth="1"/>
    <col min="4" max="4" width="16.21875" bestFit="1" customWidth="1"/>
    <col min="5" max="5" width="15.44140625" bestFit="1" customWidth="1"/>
  </cols>
  <sheetData>
    <row r="1" spans="1:5" x14ac:dyDescent="0.3">
      <c r="A1" s="1" t="s">
        <v>6</v>
      </c>
      <c r="B1" s="1" t="s">
        <v>0</v>
      </c>
      <c r="C1" s="1" t="s">
        <v>1909</v>
      </c>
      <c r="D1" s="1" t="s">
        <v>1910</v>
      </c>
      <c r="E1" s="1" t="s">
        <v>1911</v>
      </c>
    </row>
    <row r="2" spans="1:5" x14ac:dyDescent="0.3">
      <c r="A2" t="s">
        <v>12</v>
      </c>
      <c r="B2" t="s">
        <v>8</v>
      </c>
      <c r="C2" t="s">
        <v>1912</v>
      </c>
      <c r="D2" t="s">
        <v>1913</v>
      </c>
      <c r="E2" s="2">
        <v>46285.321527777778</v>
      </c>
    </row>
    <row r="3" spans="1:5" x14ac:dyDescent="0.3">
      <c r="A3" t="s">
        <v>16</v>
      </c>
      <c r="B3" t="s">
        <v>14</v>
      </c>
      <c r="C3" t="s">
        <v>1914</v>
      </c>
      <c r="D3" t="s">
        <v>1913</v>
      </c>
      <c r="E3" s="2">
        <v>46215.674305555556</v>
      </c>
    </row>
    <row r="4" spans="1:5" x14ac:dyDescent="0.3">
      <c r="A4" t="s">
        <v>21</v>
      </c>
      <c r="B4" t="s">
        <v>18</v>
      </c>
      <c r="C4" t="s">
        <v>1912</v>
      </c>
      <c r="D4" t="s">
        <v>1913</v>
      </c>
      <c r="E4" s="2">
        <v>46295.743750000001</v>
      </c>
    </row>
    <row r="5" spans="1:5" x14ac:dyDescent="0.3">
      <c r="A5" t="s">
        <v>25</v>
      </c>
      <c r="B5" t="s">
        <v>23</v>
      </c>
      <c r="C5" t="s">
        <v>1914</v>
      </c>
      <c r="D5" t="s">
        <v>1913</v>
      </c>
      <c r="E5" s="2">
        <v>46224.756944444445</v>
      </c>
    </row>
    <row r="6" spans="1:5" x14ac:dyDescent="0.3">
      <c r="A6" t="s">
        <v>30</v>
      </c>
      <c r="B6" t="s">
        <v>27</v>
      </c>
      <c r="C6" t="s">
        <v>1915</v>
      </c>
      <c r="D6" t="s">
        <v>1913</v>
      </c>
      <c r="E6" s="2">
        <v>46249.84097222222</v>
      </c>
    </row>
    <row r="7" spans="1:5" x14ac:dyDescent="0.3">
      <c r="A7" t="s">
        <v>33</v>
      </c>
      <c r="B7" t="s">
        <v>32</v>
      </c>
      <c r="C7" t="s">
        <v>1914</v>
      </c>
      <c r="D7" t="s">
        <v>1913</v>
      </c>
      <c r="E7" s="2">
        <v>46214.629166666666</v>
      </c>
    </row>
    <row r="8" spans="1:5" x14ac:dyDescent="0.3">
      <c r="A8" t="s">
        <v>37</v>
      </c>
      <c r="B8" t="s">
        <v>35</v>
      </c>
      <c r="C8" t="s">
        <v>1915</v>
      </c>
      <c r="D8" t="s">
        <v>1913</v>
      </c>
      <c r="E8" s="2">
        <v>46209.746527777781</v>
      </c>
    </row>
    <row r="9" spans="1:5" x14ac:dyDescent="0.3">
      <c r="A9" t="s">
        <v>40</v>
      </c>
      <c r="B9" t="s">
        <v>39</v>
      </c>
      <c r="C9" t="s">
        <v>1915</v>
      </c>
      <c r="D9" t="s">
        <v>1913</v>
      </c>
      <c r="E9" s="2">
        <v>46285.887499999997</v>
      </c>
    </row>
    <row r="10" spans="1:5" x14ac:dyDescent="0.3">
      <c r="A10" t="s">
        <v>44</v>
      </c>
      <c r="B10" t="s">
        <v>42</v>
      </c>
      <c r="C10" t="s">
        <v>1915</v>
      </c>
      <c r="D10" t="s">
        <v>1913</v>
      </c>
      <c r="E10" s="2">
        <v>46281.697222222225</v>
      </c>
    </row>
    <row r="11" spans="1:5" x14ac:dyDescent="0.3">
      <c r="A11" t="s">
        <v>48</v>
      </c>
      <c r="B11" t="s">
        <v>46</v>
      </c>
      <c r="C11" t="s">
        <v>1912</v>
      </c>
      <c r="D11" t="s">
        <v>1913</v>
      </c>
      <c r="E11" s="2">
        <v>46291.551388888889</v>
      </c>
    </row>
    <row r="12" spans="1:5" x14ac:dyDescent="0.3">
      <c r="A12" t="s">
        <v>51</v>
      </c>
      <c r="B12" t="s">
        <v>50</v>
      </c>
      <c r="C12" t="s">
        <v>1914</v>
      </c>
      <c r="D12" t="s">
        <v>1913</v>
      </c>
      <c r="E12" s="2">
        <v>46231.936805555553</v>
      </c>
    </row>
    <row r="13" spans="1:5" x14ac:dyDescent="0.3">
      <c r="A13" t="s">
        <v>54</v>
      </c>
      <c r="B13" t="s">
        <v>53</v>
      </c>
      <c r="C13" t="s">
        <v>1915</v>
      </c>
      <c r="D13" t="s">
        <v>1913</v>
      </c>
      <c r="E13" s="2">
        <v>46222.489583333336</v>
      </c>
    </row>
    <row r="14" spans="1:5" x14ac:dyDescent="0.3">
      <c r="A14" t="s">
        <v>57</v>
      </c>
      <c r="B14" t="s">
        <v>56</v>
      </c>
      <c r="C14" t="s">
        <v>1915</v>
      </c>
      <c r="D14" t="s">
        <v>1913</v>
      </c>
      <c r="E14" s="2">
        <v>46250.40902777778</v>
      </c>
    </row>
    <row r="15" spans="1:5" x14ac:dyDescent="0.3">
      <c r="A15" t="s">
        <v>60</v>
      </c>
      <c r="B15" t="s">
        <v>59</v>
      </c>
      <c r="C15" t="s">
        <v>1912</v>
      </c>
      <c r="D15" t="s">
        <v>1913</v>
      </c>
      <c r="E15" s="2">
        <v>46291.556250000001</v>
      </c>
    </row>
    <row r="16" spans="1:5" x14ac:dyDescent="0.3">
      <c r="A16" t="s">
        <v>63</v>
      </c>
      <c r="B16" t="s">
        <v>62</v>
      </c>
      <c r="C16" t="s">
        <v>1912</v>
      </c>
      <c r="D16" t="s">
        <v>1913</v>
      </c>
      <c r="E16" s="2">
        <v>46291.780555555553</v>
      </c>
    </row>
    <row r="17" spans="1:5" x14ac:dyDescent="0.3">
      <c r="A17" t="s">
        <v>66</v>
      </c>
      <c r="B17" t="s">
        <v>65</v>
      </c>
      <c r="C17" t="s">
        <v>1914</v>
      </c>
      <c r="D17" t="s">
        <v>1913</v>
      </c>
      <c r="E17" s="2">
        <v>46224.592361111114</v>
      </c>
    </row>
    <row r="18" spans="1:5" x14ac:dyDescent="0.3">
      <c r="A18" t="s">
        <v>70</v>
      </c>
      <c r="B18" t="s">
        <v>68</v>
      </c>
      <c r="C18" t="s">
        <v>1915</v>
      </c>
      <c r="D18" t="s">
        <v>1913</v>
      </c>
      <c r="E18" s="2">
        <v>46217.875694444447</v>
      </c>
    </row>
    <row r="19" spans="1:5" x14ac:dyDescent="0.3">
      <c r="A19" t="s">
        <v>75</v>
      </c>
      <c r="B19" t="s">
        <v>74</v>
      </c>
      <c r="C19" t="s">
        <v>1914</v>
      </c>
      <c r="D19" t="s">
        <v>1913</v>
      </c>
      <c r="E19" s="2">
        <v>46243.426388888889</v>
      </c>
    </row>
    <row r="20" spans="1:5" x14ac:dyDescent="0.3">
      <c r="A20" t="s">
        <v>78</v>
      </c>
      <c r="B20" t="s">
        <v>77</v>
      </c>
      <c r="C20" t="s">
        <v>1915</v>
      </c>
      <c r="D20" t="s">
        <v>1913</v>
      </c>
      <c r="E20" s="2">
        <v>46272.789583333331</v>
      </c>
    </row>
    <row r="21" spans="1:5" x14ac:dyDescent="0.3">
      <c r="A21" t="s">
        <v>81</v>
      </c>
      <c r="B21" t="s">
        <v>80</v>
      </c>
      <c r="C21" t="s">
        <v>1915</v>
      </c>
      <c r="D21" t="s">
        <v>1913</v>
      </c>
      <c r="E21" s="2">
        <v>46231.927777777775</v>
      </c>
    </row>
    <row r="22" spans="1:5" x14ac:dyDescent="0.3">
      <c r="A22" t="s">
        <v>86</v>
      </c>
      <c r="B22" t="s">
        <v>85</v>
      </c>
      <c r="C22" t="s">
        <v>1915</v>
      </c>
      <c r="D22" t="s">
        <v>1913</v>
      </c>
      <c r="E22" s="2">
        <v>46279.433333333334</v>
      </c>
    </row>
    <row r="23" spans="1:5" x14ac:dyDescent="0.3">
      <c r="A23" t="s">
        <v>89</v>
      </c>
      <c r="B23" t="s">
        <v>88</v>
      </c>
      <c r="C23" t="s">
        <v>1914</v>
      </c>
      <c r="D23" t="s">
        <v>1913</v>
      </c>
      <c r="E23" s="2">
        <v>46213.629861111112</v>
      </c>
    </row>
    <row r="24" spans="1:5" x14ac:dyDescent="0.3">
      <c r="A24" t="s">
        <v>92</v>
      </c>
      <c r="B24" t="s">
        <v>91</v>
      </c>
      <c r="C24" t="s">
        <v>1915</v>
      </c>
      <c r="D24" t="s">
        <v>1913</v>
      </c>
      <c r="E24" s="2">
        <v>46235.799305555556</v>
      </c>
    </row>
    <row r="25" spans="1:5" x14ac:dyDescent="0.3">
      <c r="A25" t="s">
        <v>97</v>
      </c>
      <c r="B25" t="s">
        <v>96</v>
      </c>
      <c r="C25" t="s">
        <v>1915</v>
      </c>
      <c r="D25" t="s">
        <v>1913</v>
      </c>
      <c r="E25" s="2">
        <v>46217.410416666666</v>
      </c>
    </row>
    <row r="26" spans="1:5" x14ac:dyDescent="0.3">
      <c r="A26" t="s">
        <v>100</v>
      </c>
      <c r="B26" t="s">
        <v>99</v>
      </c>
      <c r="C26" t="s">
        <v>1912</v>
      </c>
      <c r="D26" t="s">
        <v>36</v>
      </c>
      <c r="E26" s="2">
        <v>46213.617361111108</v>
      </c>
    </row>
    <row r="27" spans="1:5" x14ac:dyDescent="0.3">
      <c r="A27" t="s">
        <v>103</v>
      </c>
      <c r="B27" t="s">
        <v>102</v>
      </c>
      <c r="C27" t="s">
        <v>1912</v>
      </c>
      <c r="D27" t="s">
        <v>1913</v>
      </c>
      <c r="E27" s="2">
        <v>46234.40902777778</v>
      </c>
    </row>
    <row r="28" spans="1:5" x14ac:dyDescent="0.3">
      <c r="A28" t="s">
        <v>106</v>
      </c>
      <c r="B28" t="s">
        <v>105</v>
      </c>
      <c r="C28" t="s">
        <v>1914</v>
      </c>
      <c r="D28" t="s">
        <v>1913</v>
      </c>
      <c r="E28" s="2">
        <v>46253.512499999997</v>
      </c>
    </row>
    <row r="29" spans="1:5" x14ac:dyDescent="0.3">
      <c r="A29" t="s">
        <v>114</v>
      </c>
      <c r="B29" t="s">
        <v>113</v>
      </c>
      <c r="C29" t="s">
        <v>1914</v>
      </c>
      <c r="D29" t="s">
        <v>1913</v>
      </c>
      <c r="E29" s="2">
        <v>46214.82708333333</v>
      </c>
    </row>
    <row r="30" spans="1:5" x14ac:dyDescent="0.3">
      <c r="A30" t="s">
        <v>117</v>
      </c>
      <c r="B30" t="s">
        <v>116</v>
      </c>
      <c r="C30" t="s">
        <v>1914</v>
      </c>
      <c r="D30" t="s">
        <v>1913</v>
      </c>
      <c r="E30" s="2">
        <v>46278.654861111114</v>
      </c>
    </row>
    <row r="31" spans="1:5" x14ac:dyDescent="0.3">
      <c r="A31" t="s">
        <v>120</v>
      </c>
      <c r="B31" t="s">
        <v>119</v>
      </c>
      <c r="C31" t="s">
        <v>1912</v>
      </c>
      <c r="D31" t="s">
        <v>1913</v>
      </c>
      <c r="E31" s="2">
        <v>46230.724999999999</v>
      </c>
    </row>
    <row r="32" spans="1:5" x14ac:dyDescent="0.3">
      <c r="A32" t="s">
        <v>123</v>
      </c>
      <c r="B32" t="s">
        <v>122</v>
      </c>
      <c r="C32" t="s">
        <v>1914</v>
      </c>
      <c r="D32" t="s">
        <v>1913</v>
      </c>
      <c r="E32" s="2">
        <v>46205.635416666664</v>
      </c>
    </row>
    <row r="33" spans="1:5" x14ac:dyDescent="0.3">
      <c r="A33" t="s">
        <v>126</v>
      </c>
      <c r="B33" t="s">
        <v>125</v>
      </c>
      <c r="C33" t="s">
        <v>1912</v>
      </c>
      <c r="D33" t="s">
        <v>1913</v>
      </c>
      <c r="E33" s="2">
        <v>46220.905555555553</v>
      </c>
    </row>
    <row r="34" spans="1:5" x14ac:dyDescent="0.3">
      <c r="A34" t="s">
        <v>129</v>
      </c>
      <c r="B34" t="s">
        <v>128</v>
      </c>
      <c r="C34" t="s">
        <v>1915</v>
      </c>
      <c r="D34" t="s">
        <v>1913</v>
      </c>
      <c r="E34" s="2">
        <v>46294.524305555555</v>
      </c>
    </row>
    <row r="35" spans="1:5" x14ac:dyDescent="0.3">
      <c r="A35" t="s">
        <v>132</v>
      </c>
      <c r="B35" t="s">
        <v>131</v>
      </c>
      <c r="C35" t="s">
        <v>1914</v>
      </c>
      <c r="D35" t="s">
        <v>1913</v>
      </c>
      <c r="E35" s="2">
        <v>46288.402777777781</v>
      </c>
    </row>
    <row r="36" spans="1:5" x14ac:dyDescent="0.3">
      <c r="A36" t="s">
        <v>135</v>
      </c>
      <c r="B36" t="s">
        <v>134</v>
      </c>
      <c r="C36" t="s">
        <v>1912</v>
      </c>
      <c r="D36" t="s">
        <v>1913</v>
      </c>
      <c r="E36" s="2">
        <v>46281.43472222222</v>
      </c>
    </row>
    <row r="37" spans="1:5" x14ac:dyDescent="0.3">
      <c r="A37" t="s">
        <v>138</v>
      </c>
      <c r="B37" t="s">
        <v>137</v>
      </c>
      <c r="C37" t="s">
        <v>1914</v>
      </c>
      <c r="D37" t="s">
        <v>1913</v>
      </c>
      <c r="E37" s="2">
        <v>46215.738888888889</v>
      </c>
    </row>
    <row r="38" spans="1:5" x14ac:dyDescent="0.3">
      <c r="A38" t="s">
        <v>145</v>
      </c>
      <c r="B38" t="s">
        <v>144</v>
      </c>
      <c r="C38" t="s">
        <v>1914</v>
      </c>
      <c r="D38" t="s">
        <v>1913</v>
      </c>
      <c r="E38" s="2">
        <v>46209.875</v>
      </c>
    </row>
    <row r="39" spans="1:5" x14ac:dyDescent="0.3">
      <c r="A39" t="s">
        <v>148</v>
      </c>
      <c r="B39" t="s">
        <v>147</v>
      </c>
      <c r="C39" t="s">
        <v>1915</v>
      </c>
      <c r="D39" t="s">
        <v>1913</v>
      </c>
      <c r="E39" s="2">
        <v>46283.779861111114</v>
      </c>
    </row>
    <row r="40" spans="1:5" x14ac:dyDescent="0.3">
      <c r="A40" t="s">
        <v>151</v>
      </c>
      <c r="B40" t="s">
        <v>150</v>
      </c>
      <c r="C40" t="s">
        <v>1912</v>
      </c>
      <c r="D40" t="s">
        <v>1913</v>
      </c>
      <c r="E40" s="2">
        <v>46226.826388888891</v>
      </c>
    </row>
    <row r="41" spans="1:5" x14ac:dyDescent="0.3">
      <c r="A41" t="s">
        <v>154</v>
      </c>
      <c r="B41" t="s">
        <v>153</v>
      </c>
      <c r="C41" t="s">
        <v>1914</v>
      </c>
      <c r="D41" t="s">
        <v>1913</v>
      </c>
      <c r="E41" s="2">
        <v>46252.82708333333</v>
      </c>
    </row>
    <row r="42" spans="1:5" x14ac:dyDescent="0.3">
      <c r="A42" t="s">
        <v>157</v>
      </c>
      <c r="B42" t="s">
        <v>156</v>
      </c>
      <c r="C42" t="s">
        <v>1914</v>
      </c>
      <c r="D42" t="s">
        <v>1913</v>
      </c>
      <c r="E42" s="2">
        <v>46232.352083333331</v>
      </c>
    </row>
    <row r="43" spans="1:5" x14ac:dyDescent="0.3">
      <c r="A43" t="s">
        <v>160</v>
      </c>
      <c r="B43" t="s">
        <v>159</v>
      </c>
      <c r="C43" t="s">
        <v>1912</v>
      </c>
      <c r="D43" t="s">
        <v>1913</v>
      </c>
      <c r="E43" s="2">
        <v>46255.751388888886</v>
      </c>
    </row>
    <row r="44" spans="1:5" x14ac:dyDescent="0.3">
      <c r="A44" t="s">
        <v>163</v>
      </c>
      <c r="B44" t="s">
        <v>162</v>
      </c>
      <c r="C44" t="s">
        <v>1912</v>
      </c>
      <c r="D44" t="s">
        <v>1913</v>
      </c>
      <c r="E44" s="2">
        <v>46208.398611111108</v>
      </c>
    </row>
    <row r="45" spans="1:5" x14ac:dyDescent="0.3">
      <c r="A45" t="s">
        <v>168</v>
      </c>
      <c r="B45" t="s">
        <v>167</v>
      </c>
      <c r="C45" t="s">
        <v>1915</v>
      </c>
      <c r="D45" t="s">
        <v>1913</v>
      </c>
      <c r="E45" s="2">
        <v>46291.793749999997</v>
      </c>
    </row>
    <row r="46" spans="1:5" x14ac:dyDescent="0.3">
      <c r="A46" t="s">
        <v>171</v>
      </c>
      <c r="B46" t="s">
        <v>170</v>
      </c>
      <c r="C46" t="s">
        <v>1912</v>
      </c>
      <c r="D46" t="s">
        <v>1913</v>
      </c>
      <c r="E46" s="2">
        <v>46283.52847222222</v>
      </c>
    </row>
    <row r="47" spans="1:5" x14ac:dyDescent="0.3">
      <c r="A47" t="s">
        <v>174</v>
      </c>
      <c r="B47" t="s">
        <v>173</v>
      </c>
      <c r="C47" t="s">
        <v>1915</v>
      </c>
      <c r="D47" t="s">
        <v>1913</v>
      </c>
      <c r="E47" s="2">
        <v>46245.570833333331</v>
      </c>
    </row>
    <row r="48" spans="1:5" x14ac:dyDescent="0.3">
      <c r="A48" t="s">
        <v>177</v>
      </c>
      <c r="B48" t="s">
        <v>176</v>
      </c>
      <c r="C48" t="s">
        <v>1915</v>
      </c>
      <c r="D48" t="s">
        <v>1913</v>
      </c>
      <c r="E48" s="2">
        <v>46282.673611111109</v>
      </c>
    </row>
    <row r="49" spans="1:5" x14ac:dyDescent="0.3">
      <c r="A49" t="s">
        <v>180</v>
      </c>
      <c r="B49" t="s">
        <v>179</v>
      </c>
      <c r="C49" t="s">
        <v>1914</v>
      </c>
      <c r="D49" t="s">
        <v>1913</v>
      </c>
      <c r="E49" s="2">
        <v>46263.607638888891</v>
      </c>
    </row>
    <row r="50" spans="1:5" x14ac:dyDescent="0.3">
      <c r="A50" t="s">
        <v>183</v>
      </c>
      <c r="B50" t="s">
        <v>182</v>
      </c>
      <c r="C50" t="s">
        <v>1912</v>
      </c>
      <c r="D50" t="s">
        <v>1913</v>
      </c>
      <c r="E50" s="2">
        <v>46269.731249999997</v>
      </c>
    </row>
    <row r="51" spans="1:5" x14ac:dyDescent="0.3">
      <c r="A51" t="s">
        <v>186</v>
      </c>
      <c r="B51" t="s">
        <v>185</v>
      </c>
      <c r="C51" t="s">
        <v>1914</v>
      </c>
      <c r="D51" t="s">
        <v>1913</v>
      </c>
      <c r="E51" s="2">
        <v>46222.274305555555</v>
      </c>
    </row>
    <row r="52" spans="1:5" x14ac:dyDescent="0.3">
      <c r="A52" t="s">
        <v>189</v>
      </c>
      <c r="B52" t="s">
        <v>188</v>
      </c>
      <c r="C52" t="s">
        <v>1914</v>
      </c>
      <c r="D52" t="s">
        <v>1913</v>
      </c>
      <c r="E52" s="2">
        <v>46295.806250000001</v>
      </c>
    </row>
    <row r="53" spans="1:5" x14ac:dyDescent="0.3">
      <c r="A53" t="s">
        <v>192</v>
      </c>
      <c r="B53" t="s">
        <v>191</v>
      </c>
      <c r="C53" t="s">
        <v>1915</v>
      </c>
      <c r="D53" t="s">
        <v>1913</v>
      </c>
      <c r="E53" s="2">
        <v>46258.436111111114</v>
      </c>
    </row>
    <row r="54" spans="1:5" x14ac:dyDescent="0.3">
      <c r="A54" t="s">
        <v>195</v>
      </c>
      <c r="B54" t="s">
        <v>194</v>
      </c>
      <c r="C54" t="s">
        <v>1914</v>
      </c>
      <c r="D54" t="s">
        <v>1913</v>
      </c>
      <c r="E54" s="2">
        <v>46262.438194444447</v>
      </c>
    </row>
    <row r="55" spans="1:5" x14ac:dyDescent="0.3">
      <c r="A55" t="s">
        <v>198</v>
      </c>
      <c r="B55" t="s">
        <v>197</v>
      </c>
      <c r="C55" t="s">
        <v>1914</v>
      </c>
      <c r="D55" t="s">
        <v>1913</v>
      </c>
      <c r="E55" s="2">
        <v>46282.876388888886</v>
      </c>
    </row>
    <row r="56" spans="1:5" x14ac:dyDescent="0.3">
      <c r="A56" t="s">
        <v>201</v>
      </c>
      <c r="B56" t="s">
        <v>200</v>
      </c>
      <c r="C56" t="s">
        <v>1914</v>
      </c>
      <c r="D56" t="s">
        <v>1913</v>
      </c>
      <c r="E56" s="2">
        <v>46261.518055555556</v>
      </c>
    </row>
    <row r="57" spans="1:5" x14ac:dyDescent="0.3">
      <c r="A57" t="s">
        <v>204</v>
      </c>
      <c r="B57" t="s">
        <v>203</v>
      </c>
      <c r="C57" t="s">
        <v>1912</v>
      </c>
      <c r="D57" t="s">
        <v>1913</v>
      </c>
      <c r="E57" s="2">
        <v>46260.38958333333</v>
      </c>
    </row>
    <row r="58" spans="1:5" x14ac:dyDescent="0.3">
      <c r="A58" t="s">
        <v>207</v>
      </c>
      <c r="B58" t="s">
        <v>206</v>
      </c>
      <c r="C58" t="s">
        <v>1912</v>
      </c>
      <c r="D58" t="s">
        <v>1913</v>
      </c>
      <c r="E58" s="2">
        <v>46233.586111111108</v>
      </c>
    </row>
    <row r="59" spans="1:5" x14ac:dyDescent="0.3">
      <c r="A59" t="s">
        <v>210</v>
      </c>
      <c r="B59" t="s">
        <v>209</v>
      </c>
      <c r="C59" t="s">
        <v>1912</v>
      </c>
      <c r="D59" t="s">
        <v>1913</v>
      </c>
      <c r="E59" s="2">
        <v>46257.338888888888</v>
      </c>
    </row>
    <row r="60" spans="1:5" x14ac:dyDescent="0.3">
      <c r="A60" t="s">
        <v>213</v>
      </c>
      <c r="B60" t="s">
        <v>212</v>
      </c>
      <c r="C60" t="s">
        <v>1914</v>
      </c>
      <c r="D60" t="s">
        <v>1913</v>
      </c>
      <c r="E60" s="2">
        <v>46265.304166666669</v>
      </c>
    </row>
    <row r="61" spans="1:5" x14ac:dyDescent="0.3">
      <c r="A61" t="s">
        <v>216</v>
      </c>
      <c r="B61" t="s">
        <v>215</v>
      </c>
      <c r="C61" t="s">
        <v>1915</v>
      </c>
      <c r="D61" t="s">
        <v>1913</v>
      </c>
      <c r="E61" s="2">
        <v>46281.899305555555</v>
      </c>
    </row>
    <row r="62" spans="1:5" x14ac:dyDescent="0.3">
      <c r="A62" t="s">
        <v>219</v>
      </c>
      <c r="B62" t="s">
        <v>218</v>
      </c>
      <c r="C62" t="s">
        <v>1915</v>
      </c>
      <c r="D62" t="s">
        <v>1913</v>
      </c>
      <c r="E62" s="2">
        <v>46225.879166666666</v>
      </c>
    </row>
    <row r="63" spans="1:5" x14ac:dyDescent="0.3">
      <c r="A63" t="s">
        <v>222</v>
      </c>
      <c r="B63" t="s">
        <v>221</v>
      </c>
      <c r="C63" t="s">
        <v>1915</v>
      </c>
      <c r="D63" t="s">
        <v>1913</v>
      </c>
      <c r="E63" s="2">
        <v>46214.765277777777</v>
      </c>
    </row>
    <row r="64" spans="1:5" x14ac:dyDescent="0.3">
      <c r="A64" t="s">
        <v>225</v>
      </c>
      <c r="B64" t="s">
        <v>224</v>
      </c>
      <c r="C64" t="s">
        <v>1915</v>
      </c>
      <c r="D64" t="s">
        <v>1913</v>
      </c>
      <c r="E64" s="2">
        <v>46262.51666666667</v>
      </c>
    </row>
    <row r="65" spans="1:5" x14ac:dyDescent="0.3">
      <c r="A65" t="s">
        <v>228</v>
      </c>
      <c r="B65" t="s">
        <v>227</v>
      </c>
      <c r="C65" t="s">
        <v>1912</v>
      </c>
      <c r="D65" t="s">
        <v>1913</v>
      </c>
      <c r="E65" s="2">
        <v>46206.772222222222</v>
      </c>
    </row>
    <row r="66" spans="1:5" x14ac:dyDescent="0.3">
      <c r="A66" t="s">
        <v>231</v>
      </c>
      <c r="B66" t="s">
        <v>230</v>
      </c>
      <c r="C66" t="s">
        <v>1912</v>
      </c>
      <c r="D66" t="s">
        <v>1913</v>
      </c>
      <c r="E66" s="2">
        <v>46207.436111111114</v>
      </c>
    </row>
    <row r="67" spans="1:5" x14ac:dyDescent="0.3">
      <c r="A67" t="s">
        <v>234</v>
      </c>
      <c r="B67" t="s">
        <v>233</v>
      </c>
      <c r="C67" t="s">
        <v>1914</v>
      </c>
      <c r="D67" t="s">
        <v>1913</v>
      </c>
      <c r="E67" s="2">
        <v>46276.431250000001</v>
      </c>
    </row>
    <row r="68" spans="1:5" x14ac:dyDescent="0.3">
      <c r="A68" t="s">
        <v>237</v>
      </c>
      <c r="B68" t="s">
        <v>236</v>
      </c>
      <c r="C68" t="s">
        <v>1914</v>
      </c>
      <c r="D68" t="s">
        <v>1913</v>
      </c>
      <c r="E68" s="2">
        <v>46224.490972222222</v>
      </c>
    </row>
    <row r="69" spans="1:5" x14ac:dyDescent="0.3">
      <c r="A69" t="s">
        <v>240</v>
      </c>
      <c r="B69" t="s">
        <v>239</v>
      </c>
      <c r="C69" t="s">
        <v>1915</v>
      </c>
      <c r="D69" t="s">
        <v>1913</v>
      </c>
      <c r="E69" s="2">
        <v>46213.692361111112</v>
      </c>
    </row>
    <row r="70" spans="1:5" x14ac:dyDescent="0.3">
      <c r="A70" t="s">
        <v>243</v>
      </c>
      <c r="B70" t="s">
        <v>242</v>
      </c>
      <c r="C70" t="s">
        <v>1912</v>
      </c>
      <c r="D70" t="s">
        <v>36</v>
      </c>
      <c r="E70" s="2">
        <v>46276.815972222219</v>
      </c>
    </row>
    <row r="71" spans="1:5" x14ac:dyDescent="0.3">
      <c r="A71" t="s">
        <v>246</v>
      </c>
      <c r="B71" t="s">
        <v>245</v>
      </c>
      <c r="C71" t="s">
        <v>1912</v>
      </c>
      <c r="D71" t="s">
        <v>1913</v>
      </c>
      <c r="E71" s="2">
        <v>46205.85833333333</v>
      </c>
    </row>
    <row r="72" spans="1:5" x14ac:dyDescent="0.3">
      <c r="A72" t="s">
        <v>249</v>
      </c>
      <c r="B72" t="s">
        <v>248</v>
      </c>
      <c r="C72" t="s">
        <v>1912</v>
      </c>
      <c r="D72" t="s">
        <v>1913</v>
      </c>
      <c r="E72" s="2">
        <v>46226.804166666669</v>
      </c>
    </row>
    <row r="73" spans="1:5" x14ac:dyDescent="0.3">
      <c r="A73" t="s">
        <v>252</v>
      </c>
      <c r="B73" t="s">
        <v>251</v>
      </c>
      <c r="C73" t="s">
        <v>1915</v>
      </c>
      <c r="D73" t="s">
        <v>1913</v>
      </c>
      <c r="E73" s="2">
        <v>46245.881249999999</v>
      </c>
    </row>
    <row r="74" spans="1:5" x14ac:dyDescent="0.3">
      <c r="A74" t="s">
        <v>255</v>
      </c>
      <c r="B74" t="s">
        <v>254</v>
      </c>
      <c r="C74" t="s">
        <v>1912</v>
      </c>
      <c r="D74" t="s">
        <v>1913</v>
      </c>
      <c r="E74" s="2">
        <v>46247.34652777778</v>
      </c>
    </row>
    <row r="75" spans="1:5" x14ac:dyDescent="0.3">
      <c r="A75" t="s">
        <v>258</v>
      </c>
      <c r="B75" t="s">
        <v>257</v>
      </c>
      <c r="C75" t="s">
        <v>1914</v>
      </c>
      <c r="D75" t="s">
        <v>1913</v>
      </c>
      <c r="E75" s="2">
        <v>46239.938888888886</v>
      </c>
    </row>
    <row r="76" spans="1:5" x14ac:dyDescent="0.3">
      <c r="A76" t="s">
        <v>261</v>
      </c>
      <c r="B76" t="s">
        <v>260</v>
      </c>
      <c r="C76" t="s">
        <v>1915</v>
      </c>
      <c r="D76" t="s">
        <v>1913</v>
      </c>
      <c r="E76" s="2">
        <v>46234.750694444447</v>
      </c>
    </row>
    <row r="77" spans="1:5" x14ac:dyDescent="0.3">
      <c r="A77" t="s">
        <v>264</v>
      </c>
      <c r="B77" t="s">
        <v>263</v>
      </c>
      <c r="C77" t="s">
        <v>1912</v>
      </c>
      <c r="D77" t="s">
        <v>1913</v>
      </c>
      <c r="E77" s="2">
        <v>46261.782638888886</v>
      </c>
    </row>
    <row r="78" spans="1:5" x14ac:dyDescent="0.3">
      <c r="A78" t="s">
        <v>267</v>
      </c>
      <c r="B78" t="s">
        <v>266</v>
      </c>
      <c r="C78" t="s">
        <v>1914</v>
      </c>
      <c r="D78" t="s">
        <v>1913</v>
      </c>
      <c r="E78" s="2">
        <v>46264.67083333333</v>
      </c>
    </row>
    <row r="79" spans="1:5" x14ac:dyDescent="0.3">
      <c r="A79" t="s">
        <v>270</v>
      </c>
      <c r="B79" t="s">
        <v>269</v>
      </c>
      <c r="C79" t="s">
        <v>1914</v>
      </c>
      <c r="D79" t="s">
        <v>1913</v>
      </c>
      <c r="E79" s="2">
        <v>46238.48541666667</v>
      </c>
    </row>
    <row r="80" spans="1:5" x14ac:dyDescent="0.3">
      <c r="A80" t="s">
        <v>273</v>
      </c>
      <c r="B80" t="s">
        <v>272</v>
      </c>
      <c r="C80" t="s">
        <v>1914</v>
      </c>
      <c r="D80" t="s">
        <v>1913</v>
      </c>
      <c r="E80" s="2">
        <v>46228.451388888891</v>
      </c>
    </row>
    <row r="81" spans="1:5" x14ac:dyDescent="0.3">
      <c r="A81" t="s">
        <v>276</v>
      </c>
      <c r="B81" t="s">
        <v>275</v>
      </c>
      <c r="C81" t="s">
        <v>1912</v>
      </c>
      <c r="D81" t="s">
        <v>1913</v>
      </c>
      <c r="E81" s="2">
        <v>46228.495833333334</v>
      </c>
    </row>
    <row r="82" spans="1:5" x14ac:dyDescent="0.3">
      <c r="A82" t="s">
        <v>279</v>
      </c>
      <c r="B82" t="s">
        <v>278</v>
      </c>
      <c r="C82" t="s">
        <v>1915</v>
      </c>
      <c r="D82" t="s">
        <v>1913</v>
      </c>
      <c r="E82" s="2">
        <v>46210.677777777775</v>
      </c>
    </row>
    <row r="83" spans="1:5" x14ac:dyDescent="0.3">
      <c r="A83" t="s">
        <v>282</v>
      </c>
      <c r="B83" t="s">
        <v>281</v>
      </c>
      <c r="C83" t="s">
        <v>1912</v>
      </c>
      <c r="D83" t="s">
        <v>1913</v>
      </c>
      <c r="E83" s="2">
        <v>46264.634722222225</v>
      </c>
    </row>
    <row r="84" spans="1:5" x14ac:dyDescent="0.3">
      <c r="A84" t="s">
        <v>288</v>
      </c>
      <c r="B84" t="s">
        <v>287</v>
      </c>
      <c r="C84" t="s">
        <v>1914</v>
      </c>
      <c r="D84" t="s">
        <v>1913</v>
      </c>
      <c r="E84" s="2">
        <v>46214.4375</v>
      </c>
    </row>
    <row r="85" spans="1:5" x14ac:dyDescent="0.3">
      <c r="A85" t="s">
        <v>291</v>
      </c>
      <c r="B85" t="s">
        <v>290</v>
      </c>
      <c r="C85" t="s">
        <v>1912</v>
      </c>
      <c r="D85" t="s">
        <v>1913</v>
      </c>
      <c r="E85" s="2">
        <v>46252.658333333333</v>
      </c>
    </row>
    <row r="86" spans="1:5" x14ac:dyDescent="0.3">
      <c r="A86" t="s">
        <v>294</v>
      </c>
      <c r="B86" t="s">
        <v>293</v>
      </c>
      <c r="C86" t="s">
        <v>1914</v>
      </c>
      <c r="D86" t="s">
        <v>1913</v>
      </c>
      <c r="E86" s="2">
        <v>46282.765277777777</v>
      </c>
    </row>
    <row r="87" spans="1:5" x14ac:dyDescent="0.3">
      <c r="A87" t="s">
        <v>297</v>
      </c>
      <c r="B87" t="s">
        <v>296</v>
      </c>
      <c r="C87" t="s">
        <v>1912</v>
      </c>
      <c r="D87" t="s">
        <v>1913</v>
      </c>
      <c r="E87" s="2">
        <v>46234.429166666669</v>
      </c>
    </row>
    <row r="88" spans="1:5" x14ac:dyDescent="0.3">
      <c r="A88" t="s">
        <v>300</v>
      </c>
      <c r="B88" t="s">
        <v>299</v>
      </c>
      <c r="C88" t="s">
        <v>1915</v>
      </c>
      <c r="D88" t="s">
        <v>1913</v>
      </c>
      <c r="E88" s="2">
        <v>46233.470833333333</v>
      </c>
    </row>
    <row r="89" spans="1:5" x14ac:dyDescent="0.3">
      <c r="A89" t="s">
        <v>305</v>
      </c>
      <c r="B89" t="s">
        <v>304</v>
      </c>
      <c r="C89" t="s">
        <v>1915</v>
      </c>
      <c r="D89" t="s">
        <v>1913</v>
      </c>
      <c r="E89" s="2">
        <v>46243.736111111109</v>
      </c>
    </row>
    <row r="90" spans="1:5" x14ac:dyDescent="0.3">
      <c r="A90" t="s">
        <v>310</v>
      </c>
      <c r="B90" t="s">
        <v>309</v>
      </c>
      <c r="C90" t="s">
        <v>1915</v>
      </c>
      <c r="D90" t="s">
        <v>1913</v>
      </c>
      <c r="E90" s="2">
        <v>46245.703472222223</v>
      </c>
    </row>
    <row r="91" spans="1:5" x14ac:dyDescent="0.3">
      <c r="A91" t="s">
        <v>313</v>
      </c>
      <c r="B91" t="s">
        <v>312</v>
      </c>
      <c r="C91" t="s">
        <v>1912</v>
      </c>
      <c r="D91" t="s">
        <v>1913</v>
      </c>
      <c r="E91" s="2">
        <v>46290.834027777775</v>
      </c>
    </row>
    <row r="92" spans="1:5" x14ac:dyDescent="0.3">
      <c r="A92" t="s">
        <v>316</v>
      </c>
      <c r="B92" t="s">
        <v>315</v>
      </c>
      <c r="C92" t="s">
        <v>1912</v>
      </c>
      <c r="D92" t="s">
        <v>1913</v>
      </c>
      <c r="E92" s="2">
        <v>46239.379861111112</v>
      </c>
    </row>
    <row r="93" spans="1:5" x14ac:dyDescent="0.3">
      <c r="A93" t="s">
        <v>319</v>
      </c>
      <c r="B93" t="s">
        <v>318</v>
      </c>
      <c r="C93" t="s">
        <v>1914</v>
      </c>
      <c r="D93" t="s">
        <v>1913</v>
      </c>
      <c r="E93" s="2">
        <v>46245.726388888892</v>
      </c>
    </row>
    <row r="94" spans="1:5" x14ac:dyDescent="0.3">
      <c r="A94" t="s">
        <v>322</v>
      </c>
      <c r="B94" t="s">
        <v>321</v>
      </c>
      <c r="C94" t="s">
        <v>1914</v>
      </c>
      <c r="D94" t="s">
        <v>1913</v>
      </c>
      <c r="E94" s="2">
        <v>46274.293749999997</v>
      </c>
    </row>
    <row r="95" spans="1:5" x14ac:dyDescent="0.3">
      <c r="A95" t="s">
        <v>325</v>
      </c>
      <c r="B95" t="s">
        <v>324</v>
      </c>
      <c r="C95" t="s">
        <v>1912</v>
      </c>
      <c r="D95" t="s">
        <v>1913</v>
      </c>
      <c r="E95" s="2">
        <v>46288.856944444444</v>
      </c>
    </row>
    <row r="96" spans="1:5" x14ac:dyDescent="0.3">
      <c r="A96" t="s">
        <v>328</v>
      </c>
      <c r="B96" t="s">
        <v>327</v>
      </c>
      <c r="C96" t="s">
        <v>1912</v>
      </c>
      <c r="D96" t="s">
        <v>1913</v>
      </c>
      <c r="E96" s="2">
        <v>46284.595833333333</v>
      </c>
    </row>
    <row r="97" spans="1:5" x14ac:dyDescent="0.3">
      <c r="A97" t="s">
        <v>331</v>
      </c>
      <c r="B97" t="s">
        <v>330</v>
      </c>
      <c r="C97" t="s">
        <v>1914</v>
      </c>
      <c r="D97" t="s">
        <v>1913</v>
      </c>
      <c r="E97" s="2">
        <v>46219.333333333336</v>
      </c>
    </row>
    <row r="98" spans="1:5" x14ac:dyDescent="0.3">
      <c r="A98" t="s">
        <v>334</v>
      </c>
      <c r="B98" t="s">
        <v>333</v>
      </c>
      <c r="C98" t="s">
        <v>1912</v>
      </c>
      <c r="D98" t="s">
        <v>1913</v>
      </c>
      <c r="E98" s="2">
        <v>46215.453472222223</v>
      </c>
    </row>
    <row r="99" spans="1:5" x14ac:dyDescent="0.3">
      <c r="A99" t="s">
        <v>337</v>
      </c>
      <c r="B99" t="s">
        <v>336</v>
      </c>
      <c r="C99" t="s">
        <v>1914</v>
      </c>
      <c r="D99" t="s">
        <v>1913</v>
      </c>
      <c r="E99" s="2">
        <v>46269.783333333333</v>
      </c>
    </row>
    <row r="100" spans="1:5" x14ac:dyDescent="0.3">
      <c r="A100" t="s">
        <v>340</v>
      </c>
      <c r="B100" t="s">
        <v>339</v>
      </c>
      <c r="C100" t="s">
        <v>1915</v>
      </c>
      <c r="D100" t="s">
        <v>1913</v>
      </c>
      <c r="E100" s="2">
        <v>46253.443749999999</v>
      </c>
    </row>
    <row r="101" spans="1:5" x14ac:dyDescent="0.3">
      <c r="A101" t="s">
        <v>343</v>
      </c>
      <c r="B101" t="s">
        <v>342</v>
      </c>
      <c r="C101" t="s">
        <v>1914</v>
      </c>
      <c r="D101" t="s">
        <v>1913</v>
      </c>
      <c r="E101" s="2">
        <v>46247.915972222225</v>
      </c>
    </row>
    <row r="102" spans="1:5" x14ac:dyDescent="0.3">
      <c r="A102" t="s">
        <v>346</v>
      </c>
      <c r="B102" t="s">
        <v>345</v>
      </c>
      <c r="C102" t="s">
        <v>1915</v>
      </c>
      <c r="D102" t="s">
        <v>1913</v>
      </c>
      <c r="E102" s="2">
        <v>46223.588888888888</v>
      </c>
    </row>
    <row r="103" spans="1:5" x14ac:dyDescent="0.3">
      <c r="A103" t="s">
        <v>349</v>
      </c>
      <c r="B103" t="s">
        <v>348</v>
      </c>
      <c r="C103" t="s">
        <v>1914</v>
      </c>
      <c r="D103" t="s">
        <v>1913</v>
      </c>
      <c r="E103" s="2">
        <v>46228.772916666669</v>
      </c>
    </row>
    <row r="104" spans="1:5" x14ac:dyDescent="0.3">
      <c r="A104" t="s">
        <v>352</v>
      </c>
      <c r="B104" t="s">
        <v>351</v>
      </c>
      <c r="C104" t="s">
        <v>1914</v>
      </c>
      <c r="D104" t="s">
        <v>1913</v>
      </c>
      <c r="E104" s="2">
        <v>46294.945833333331</v>
      </c>
    </row>
    <row r="105" spans="1:5" x14ac:dyDescent="0.3">
      <c r="A105" t="s">
        <v>355</v>
      </c>
      <c r="B105" t="s">
        <v>354</v>
      </c>
      <c r="C105" t="s">
        <v>1914</v>
      </c>
      <c r="D105" t="s">
        <v>1913</v>
      </c>
      <c r="E105" s="2">
        <v>46220.649305555555</v>
      </c>
    </row>
    <row r="106" spans="1:5" x14ac:dyDescent="0.3">
      <c r="A106" t="s">
        <v>358</v>
      </c>
      <c r="B106" t="s">
        <v>357</v>
      </c>
      <c r="C106" t="s">
        <v>1914</v>
      </c>
      <c r="D106" t="s">
        <v>1913</v>
      </c>
      <c r="E106" s="2">
        <v>46205.772222222222</v>
      </c>
    </row>
    <row r="107" spans="1:5" x14ac:dyDescent="0.3">
      <c r="A107" t="s">
        <v>361</v>
      </c>
      <c r="B107" t="s">
        <v>360</v>
      </c>
      <c r="C107" t="s">
        <v>1914</v>
      </c>
      <c r="D107" t="s">
        <v>1913</v>
      </c>
      <c r="E107" s="2">
        <v>46247.727083333331</v>
      </c>
    </row>
    <row r="108" spans="1:5" x14ac:dyDescent="0.3">
      <c r="A108" t="s">
        <v>366</v>
      </c>
      <c r="B108" t="s">
        <v>365</v>
      </c>
      <c r="C108" t="s">
        <v>1912</v>
      </c>
      <c r="D108" t="s">
        <v>1913</v>
      </c>
      <c r="E108" s="2">
        <v>46233.785416666666</v>
      </c>
    </row>
    <row r="109" spans="1:5" x14ac:dyDescent="0.3">
      <c r="A109" t="s">
        <v>369</v>
      </c>
      <c r="B109" t="s">
        <v>368</v>
      </c>
      <c r="C109" t="s">
        <v>1914</v>
      </c>
      <c r="D109" t="s">
        <v>1913</v>
      </c>
      <c r="E109" s="2">
        <v>46207.340277777781</v>
      </c>
    </row>
    <row r="110" spans="1:5" x14ac:dyDescent="0.3">
      <c r="A110" t="s">
        <v>372</v>
      </c>
      <c r="B110" t="s">
        <v>371</v>
      </c>
      <c r="C110" t="s">
        <v>1914</v>
      </c>
      <c r="D110" t="s">
        <v>1913</v>
      </c>
      <c r="E110" s="2">
        <v>46256.70208333333</v>
      </c>
    </row>
    <row r="111" spans="1:5" x14ac:dyDescent="0.3">
      <c r="A111" t="s">
        <v>375</v>
      </c>
      <c r="B111" t="s">
        <v>374</v>
      </c>
      <c r="C111" t="s">
        <v>1912</v>
      </c>
      <c r="D111" t="s">
        <v>1913</v>
      </c>
      <c r="E111" s="2">
        <v>46267.886805555558</v>
      </c>
    </row>
    <row r="112" spans="1:5" x14ac:dyDescent="0.3">
      <c r="A112" t="s">
        <v>378</v>
      </c>
      <c r="B112" t="s">
        <v>377</v>
      </c>
      <c r="C112" t="s">
        <v>1915</v>
      </c>
      <c r="D112" t="s">
        <v>1913</v>
      </c>
      <c r="E112" s="2">
        <v>46263.886111111111</v>
      </c>
    </row>
    <row r="113" spans="1:5" x14ac:dyDescent="0.3">
      <c r="A113" t="s">
        <v>381</v>
      </c>
      <c r="B113" t="s">
        <v>380</v>
      </c>
      <c r="C113" t="s">
        <v>1914</v>
      </c>
      <c r="D113" t="s">
        <v>1913</v>
      </c>
      <c r="E113" s="2">
        <v>46285.595138888886</v>
      </c>
    </row>
    <row r="114" spans="1:5" x14ac:dyDescent="0.3">
      <c r="A114" t="s">
        <v>386</v>
      </c>
      <c r="B114" t="s">
        <v>385</v>
      </c>
      <c r="C114" t="s">
        <v>1912</v>
      </c>
      <c r="D114" t="s">
        <v>1913</v>
      </c>
      <c r="E114" s="2">
        <v>46239.319444444445</v>
      </c>
    </row>
    <row r="115" spans="1:5" x14ac:dyDescent="0.3">
      <c r="A115" t="s">
        <v>389</v>
      </c>
      <c r="B115" t="s">
        <v>388</v>
      </c>
      <c r="C115" t="s">
        <v>1912</v>
      </c>
      <c r="D115" t="s">
        <v>1913</v>
      </c>
      <c r="E115" s="2">
        <v>46233.695138888892</v>
      </c>
    </row>
    <row r="116" spans="1:5" x14ac:dyDescent="0.3">
      <c r="A116" t="s">
        <v>392</v>
      </c>
      <c r="B116" t="s">
        <v>391</v>
      </c>
      <c r="C116" t="s">
        <v>1912</v>
      </c>
      <c r="D116" t="s">
        <v>1913</v>
      </c>
      <c r="E116" s="2">
        <v>46284.355555555558</v>
      </c>
    </row>
    <row r="117" spans="1:5" x14ac:dyDescent="0.3">
      <c r="A117" t="s">
        <v>395</v>
      </c>
      <c r="B117" t="s">
        <v>394</v>
      </c>
      <c r="C117" t="s">
        <v>1912</v>
      </c>
      <c r="D117" t="s">
        <v>1913</v>
      </c>
      <c r="E117" s="2">
        <v>46215.87777777778</v>
      </c>
    </row>
    <row r="118" spans="1:5" x14ac:dyDescent="0.3">
      <c r="A118" t="s">
        <v>398</v>
      </c>
      <c r="B118" t="s">
        <v>397</v>
      </c>
      <c r="C118" t="s">
        <v>1914</v>
      </c>
      <c r="D118" t="s">
        <v>1913</v>
      </c>
      <c r="E118" s="2">
        <v>46271.65347222222</v>
      </c>
    </row>
    <row r="119" spans="1:5" x14ac:dyDescent="0.3">
      <c r="A119" t="s">
        <v>401</v>
      </c>
      <c r="B119" t="s">
        <v>400</v>
      </c>
      <c r="C119" t="s">
        <v>1914</v>
      </c>
      <c r="D119" t="s">
        <v>1913</v>
      </c>
      <c r="E119" s="2">
        <v>46218.618750000001</v>
      </c>
    </row>
    <row r="120" spans="1:5" x14ac:dyDescent="0.3">
      <c r="A120" t="s">
        <v>404</v>
      </c>
      <c r="B120" t="s">
        <v>403</v>
      </c>
      <c r="C120" t="s">
        <v>1914</v>
      </c>
      <c r="D120" t="s">
        <v>1913</v>
      </c>
      <c r="E120" s="2">
        <v>46215.814583333333</v>
      </c>
    </row>
    <row r="121" spans="1:5" x14ac:dyDescent="0.3">
      <c r="A121" t="s">
        <v>407</v>
      </c>
      <c r="B121" t="s">
        <v>406</v>
      </c>
      <c r="C121" t="s">
        <v>1915</v>
      </c>
      <c r="D121" t="s">
        <v>1913</v>
      </c>
      <c r="E121" s="2">
        <v>46278.558333333334</v>
      </c>
    </row>
    <row r="122" spans="1:5" x14ac:dyDescent="0.3">
      <c r="A122" t="s">
        <v>410</v>
      </c>
      <c r="B122" t="s">
        <v>409</v>
      </c>
      <c r="C122" t="s">
        <v>1912</v>
      </c>
      <c r="D122" t="s">
        <v>1913</v>
      </c>
      <c r="E122" s="2">
        <v>46282.452777777777</v>
      </c>
    </row>
    <row r="123" spans="1:5" x14ac:dyDescent="0.3">
      <c r="A123" t="s">
        <v>413</v>
      </c>
      <c r="B123" t="s">
        <v>412</v>
      </c>
      <c r="C123" t="s">
        <v>1914</v>
      </c>
      <c r="D123" t="s">
        <v>1913</v>
      </c>
      <c r="E123" s="2">
        <v>46221.275694444441</v>
      </c>
    </row>
    <row r="124" spans="1:5" x14ac:dyDescent="0.3">
      <c r="A124" t="s">
        <v>416</v>
      </c>
      <c r="B124" t="s">
        <v>415</v>
      </c>
      <c r="C124" t="s">
        <v>1915</v>
      </c>
      <c r="D124" t="s">
        <v>1913</v>
      </c>
      <c r="E124" s="2">
        <v>46253.628472222219</v>
      </c>
    </row>
    <row r="125" spans="1:5" x14ac:dyDescent="0.3">
      <c r="A125" t="s">
        <v>419</v>
      </c>
      <c r="B125" t="s">
        <v>418</v>
      </c>
      <c r="C125" t="s">
        <v>1912</v>
      </c>
      <c r="D125" t="s">
        <v>1913</v>
      </c>
      <c r="E125" s="2">
        <v>46257.697222222225</v>
      </c>
    </row>
    <row r="126" spans="1:5" x14ac:dyDescent="0.3">
      <c r="A126" t="s">
        <v>422</v>
      </c>
      <c r="B126" t="s">
        <v>421</v>
      </c>
      <c r="C126" t="s">
        <v>1915</v>
      </c>
      <c r="D126" t="s">
        <v>1913</v>
      </c>
      <c r="E126" s="2">
        <v>46260.576388888891</v>
      </c>
    </row>
    <row r="127" spans="1:5" x14ac:dyDescent="0.3">
      <c r="A127" t="s">
        <v>425</v>
      </c>
      <c r="B127" t="s">
        <v>424</v>
      </c>
      <c r="C127" t="s">
        <v>1915</v>
      </c>
      <c r="D127" t="s">
        <v>1913</v>
      </c>
      <c r="E127" s="2">
        <v>46211.568749999999</v>
      </c>
    </row>
    <row r="128" spans="1:5" x14ac:dyDescent="0.3">
      <c r="A128" t="s">
        <v>434</v>
      </c>
      <c r="B128" t="s">
        <v>433</v>
      </c>
      <c r="C128" t="s">
        <v>1914</v>
      </c>
      <c r="D128" t="s">
        <v>1913</v>
      </c>
      <c r="E128" s="2">
        <v>46279.502083333333</v>
      </c>
    </row>
    <row r="129" spans="1:5" x14ac:dyDescent="0.3">
      <c r="A129" t="s">
        <v>437</v>
      </c>
      <c r="B129" t="s">
        <v>436</v>
      </c>
      <c r="C129" t="s">
        <v>1915</v>
      </c>
      <c r="D129" t="s">
        <v>1913</v>
      </c>
      <c r="E129" s="2">
        <v>46264.630555555559</v>
      </c>
    </row>
    <row r="130" spans="1:5" x14ac:dyDescent="0.3">
      <c r="A130" t="s">
        <v>440</v>
      </c>
      <c r="B130" t="s">
        <v>439</v>
      </c>
      <c r="C130" t="s">
        <v>1914</v>
      </c>
      <c r="D130" t="s">
        <v>1913</v>
      </c>
      <c r="E130" s="2">
        <v>46288.619444444441</v>
      </c>
    </row>
    <row r="131" spans="1:5" x14ac:dyDescent="0.3">
      <c r="A131" t="s">
        <v>443</v>
      </c>
      <c r="B131" t="s">
        <v>442</v>
      </c>
      <c r="C131" t="s">
        <v>1914</v>
      </c>
      <c r="D131" t="s">
        <v>1913</v>
      </c>
      <c r="E131" s="2">
        <v>46291.357638888891</v>
      </c>
    </row>
    <row r="132" spans="1:5" x14ac:dyDescent="0.3">
      <c r="A132" t="s">
        <v>446</v>
      </c>
      <c r="B132" t="s">
        <v>445</v>
      </c>
      <c r="C132" t="s">
        <v>1912</v>
      </c>
      <c r="D132" t="s">
        <v>36</v>
      </c>
      <c r="E132" s="2">
        <v>46220.495833333334</v>
      </c>
    </row>
    <row r="133" spans="1:5" x14ac:dyDescent="0.3">
      <c r="A133" t="s">
        <v>449</v>
      </c>
      <c r="B133" t="s">
        <v>448</v>
      </c>
      <c r="C133" t="s">
        <v>1915</v>
      </c>
      <c r="D133" t="s">
        <v>1913</v>
      </c>
      <c r="E133" s="2">
        <v>46241.592361111114</v>
      </c>
    </row>
    <row r="134" spans="1:5" x14ac:dyDescent="0.3">
      <c r="A134" t="s">
        <v>452</v>
      </c>
      <c r="B134" t="s">
        <v>451</v>
      </c>
      <c r="C134" t="s">
        <v>1912</v>
      </c>
      <c r="D134" t="s">
        <v>1913</v>
      </c>
      <c r="E134" s="2">
        <v>46259.652083333334</v>
      </c>
    </row>
    <row r="135" spans="1:5" x14ac:dyDescent="0.3">
      <c r="A135" t="s">
        <v>459</v>
      </c>
      <c r="B135" t="s">
        <v>458</v>
      </c>
      <c r="C135" t="s">
        <v>1914</v>
      </c>
      <c r="D135" t="s">
        <v>1913</v>
      </c>
      <c r="E135" s="2">
        <v>46289.34375</v>
      </c>
    </row>
    <row r="136" spans="1:5" x14ac:dyDescent="0.3">
      <c r="A136" t="s">
        <v>462</v>
      </c>
      <c r="B136" t="s">
        <v>461</v>
      </c>
      <c r="C136" t="s">
        <v>1915</v>
      </c>
      <c r="D136" t="s">
        <v>1913</v>
      </c>
      <c r="E136" s="2">
        <v>46249.35</v>
      </c>
    </row>
    <row r="137" spans="1:5" x14ac:dyDescent="0.3">
      <c r="A137" t="s">
        <v>465</v>
      </c>
      <c r="B137" t="s">
        <v>464</v>
      </c>
      <c r="C137" t="s">
        <v>1914</v>
      </c>
      <c r="D137" t="s">
        <v>1913</v>
      </c>
      <c r="E137" s="2">
        <v>46275.520833333336</v>
      </c>
    </row>
    <row r="138" spans="1:5" x14ac:dyDescent="0.3">
      <c r="A138" t="s">
        <v>468</v>
      </c>
      <c r="B138" t="s">
        <v>467</v>
      </c>
      <c r="C138" t="s">
        <v>1915</v>
      </c>
      <c r="D138" t="s">
        <v>1913</v>
      </c>
      <c r="E138" s="2">
        <v>46281.883333333331</v>
      </c>
    </row>
    <row r="139" spans="1:5" x14ac:dyDescent="0.3">
      <c r="A139" t="s">
        <v>473</v>
      </c>
      <c r="B139" t="s">
        <v>472</v>
      </c>
      <c r="C139" t="s">
        <v>1912</v>
      </c>
      <c r="D139" t="s">
        <v>1913</v>
      </c>
      <c r="E139" s="2">
        <v>46215.786111111112</v>
      </c>
    </row>
    <row r="140" spans="1:5" x14ac:dyDescent="0.3">
      <c r="A140" t="s">
        <v>476</v>
      </c>
      <c r="B140" t="s">
        <v>475</v>
      </c>
      <c r="C140" t="s">
        <v>1912</v>
      </c>
      <c r="D140" t="s">
        <v>1913</v>
      </c>
      <c r="E140" s="2">
        <v>46276.677777777775</v>
      </c>
    </row>
    <row r="141" spans="1:5" x14ac:dyDescent="0.3">
      <c r="A141" t="s">
        <v>479</v>
      </c>
      <c r="B141" t="s">
        <v>478</v>
      </c>
      <c r="C141" t="s">
        <v>1914</v>
      </c>
      <c r="D141" t="s">
        <v>1913</v>
      </c>
      <c r="E141" s="2">
        <v>46260.709722222222</v>
      </c>
    </row>
    <row r="142" spans="1:5" x14ac:dyDescent="0.3">
      <c r="A142" t="s">
        <v>482</v>
      </c>
      <c r="B142" t="s">
        <v>481</v>
      </c>
      <c r="C142" t="s">
        <v>1915</v>
      </c>
      <c r="D142" t="s">
        <v>1913</v>
      </c>
      <c r="E142" s="2">
        <v>46248.570833333331</v>
      </c>
    </row>
    <row r="143" spans="1:5" x14ac:dyDescent="0.3">
      <c r="A143" t="s">
        <v>485</v>
      </c>
      <c r="B143" t="s">
        <v>484</v>
      </c>
      <c r="C143" t="s">
        <v>1912</v>
      </c>
      <c r="D143" t="s">
        <v>1913</v>
      </c>
      <c r="E143" s="2">
        <v>46232.57708333333</v>
      </c>
    </row>
    <row r="144" spans="1:5" x14ac:dyDescent="0.3">
      <c r="A144" t="s">
        <v>488</v>
      </c>
      <c r="B144" t="s">
        <v>487</v>
      </c>
      <c r="C144" t="s">
        <v>1914</v>
      </c>
      <c r="D144" t="s">
        <v>1913</v>
      </c>
      <c r="E144" s="2">
        <v>46245.31527777778</v>
      </c>
    </row>
    <row r="145" spans="1:5" x14ac:dyDescent="0.3">
      <c r="A145" t="s">
        <v>490</v>
      </c>
      <c r="B145" t="s">
        <v>489</v>
      </c>
      <c r="C145" t="s">
        <v>1915</v>
      </c>
      <c r="D145" t="s">
        <v>1913</v>
      </c>
      <c r="E145" s="2">
        <v>46268.696527777778</v>
      </c>
    </row>
    <row r="146" spans="1:5" x14ac:dyDescent="0.3">
      <c r="A146" t="s">
        <v>493</v>
      </c>
      <c r="B146" t="s">
        <v>492</v>
      </c>
      <c r="C146" t="s">
        <v>1912</v>
      </c>
      <c r="D146" t="s">
        <v>1913</v>
      </c>
      <c r="E146" s="2">
        <v>46213.845138888886</v>
      </c>
    </row>
    <row r="147" spans="1:5" x14ac:dyDescent="0.3">
      <c r="A147" t="s">
        <v>496</v>
      </c>
      <c r="B147" t="s">
        <v>495</v>
      </c>
      <c r="C147" t="s">
        <v>1912</v>
      </c>
      <c r="D147" t="s">
        <v>1913</v>
      </c>
      <c r="E147" s="2">
        <v>46206.536111111112</v>
      </c>
    </row>
    <row r="148" spans="1:5" x14ac:dyDescent="0.3">
      <c r="A148" t="s">
        <v>499</v>
      </c>
      <c r="B148" t="s">
        <v>498</v>
      </c>
      <c r="C148" t="s">
        <v>1915</v>
      </c>
      <c r="D148" t="s">
        <v>1913</v>
      </c>
      <c r="E148" s="2">
        <v>46235.571527777778</v>
      </c>
    </row>
    <row r="149" spans="1:5" x14ac:dyDescent="0.3">
      <c r="A149" t="s">
        <v>502</v>
      </c>
      <c r="B149" t="s">
        <v>501</v>
      </c>
      <c r="C149" t="s">
        <v>1914</v>
      </c>
      <c r="D149" t="s">
        <v>1913</v>
      </c>
      <c r="E149" s="2">
        <v>46213.631944444445</v>
      </c>
    </row>
    <row r="150" spans="1:5" x14ac:dyDescent="0.3">
      <c r="A150" t="s">
        <v>505</v>
      </c>
      <c r="B150" t="s">
        <v>504</v>
      </c>
      <c r="C150" t="s">
        <v>1912</v>
      </c>
      <c r="D150" t="s">
        <v>1916</v>
      </c>
      <c r="E150" s="2">
        <v>46234.325694444444</v>
      </c>
    </row>
    <row r="151" spans="1:5" x14ac:dyDescent="0.3">
      <c r="A151" t="s">
        <v>508</v>
      </c>
      <c r="B151" t="s">
        <v>507</v>
      </c>
      <c r="C151" t="s">
        <v>1915</v>
      </c>
      <c r="D151" t="s">
        <v>1913</v>
      </c>
      <c r="E151" s="2">
        <v>46263.820138888892</v>
      </c>
    </row>
    <row r="152" spans="1:5" x14ac:dyDescent="0.3">
      <c r="A152" t="s">
        <v>513</v>
      </c>
      <c r="B152" t="s">
        <v>512</v>
      </c>
      <c r="C152" t="s">
        <v>1912</v>
      </c>
      <c r="D152" t="s">
        <v>1913</v>
      </c>
      <c r="E152" s="2">
        <v>46213.48541666667</v>
      </c>
    </row>
    <row r="153" spans="1:5" x14ac:dyDescent="0.3">
      <c r="A153" t="s">
        <v>516</v>
      </c>
      <c r="B153" t="s">
        <v>515</v>
      </c>
      <c r="C153" t="s">
        <v>1914</v>
      </c>
      <c r="D153" t="s">
        <v>1913</v>
      </c>
      <c r="E153" s="2">
        <v>46282.692361111112</v>
      </c>
    </row>
    <row r="154" spans="1:5" x14ac:dyDescent="0.3">
      <c r="A154" t="s">
        <v>519</v>
      </c>
      <c r="B154" t="s">
        <v>518</v>
      </c>
      <c r="C154" t="s">
        <v>1912</v>
      </c>
      <c r="D154" t="s">
        <v>1913</v>
      </c>
      <c r="E154" s="2">
        <v>46245.68472222222</v>
      </c>
    </row>
    <row r="155" spans="1:5" x14ac:dyDescent="0.3">
      <c r="A155" t="s">
        <v>522</v>
      </c>
      <c r="B155" t="s">
        <v>521</v>
      </c>
      <c r="C155" t="s">
        <v>1912</v>
      </c>
      <c r="D155" t="s">
        <v>1913</v>
      </c>
      <c r="E155" s="2">
        <v>46295.352083333331</v>
      </c>
    </row>
    <row r="156" spans="1:5" x14ac:dyDescent="0.3">
      <c r="A156" t="s">
        <v>525</v>
      </c>
      <c r="B156" t="s">
        <v>524</v>
      </c>
      <c r="C156" t="s">
        <v>1914</v>
      </c>
      <c r="D156" t="s">
        <v>1913</v>
      </c>
      <c r="E156" s="2">
        <v>46270.666666666664</v>
      </c>
    </row>
    <row r="157" spans="1:5" x14ac:dyDescent="0.3">
      <c r="A157" t="s">
        <v>528</v>
      </c>
      <c r="B157" t="s">
        <v>527</v>
      </c>
      <c r="C157" t="s">
        <v>1912</v>
      </c>
      <c r="D157" t="s">
        <v>1913</v>
      </c>
      <c r="E157" s="2">
        <v>46284.761111111111</v>
      </c>
    </row>
    <row r="158" spans="1:5" x14ac:dyDescent="0.3">
      <c r="A158" t="s">
        <v>531</v>
      </c>
      <c r="B158" t="s">
        <v>530</v>
      </c>
      <c r="C158" t="s">
        <v>1912</v>
      </c>
      <c r="D158" t="s">
        <v>1913</v>
      </c>
      <c r="E158" s="2">
        <v>46246.367361111108</v>
      </c>
    </row>
    <row r="159" spans="1:5" x14ac:dyDescent="0.3">
      <c r="A159" t="s">
        <v>534</v>
      </c>
      <c r="B159" t="s">
        <v>533</v>
      </c>
      <c r="C159" t="s">
        <v>1915</v>
      </c>
      <c r="D159" t="s">
        <v>1913</v>
      </c>
      <c r="E159" s="2">
        <v>46243.621527777781</v>
      </c>
    </row>
    <row r="160" spans="1:5" x14ac:dyDescent="0.3">
      <c r="A160" t="s">
        <v>537</v>
      </c>
      <c r="B160" t="s">
        <v>536</v>
      </c>
      <c r="C160" t="s">
        <v>1915</v>
      </c>
      <c r="D160" t="s">
        <v>1913</v>
      </c>
      <c r="E160" s="2">
        <v>46269.495138888888</v>
      </c>
    </row>
    <row r="161" spans="1:5" x14ac:dyDescent="0.3">
      <c r="A161" t="s">
        <v>540</v>
      </c>
      <c r="B161" t="s">
        <v>539</v>
      </c>
      <c r="C161" t="s">
        <v>1914</v>
      </c>
      <c r="D161" t="s">
        <v>1913</v>
      </c>
      <c r="E161" s="2">
        <v>46228.456250000003</v>
      </c>
    </row>
    <row r="162" spans="1:5" x14ac:dyDescent="0.3">
      <c r="A162" t="s">
        <v>543</v>
      </c>
      <c r="B162" t="s">
        <v>542</v>
      </c>
      <c r="C162" t="s">
        <v>1912</v>
      </c>
      <c r="D162" t="s">
        <v>1913</v>
      </c>
      <c r="E162" s="2">
        <v>46208.756249999999</v>
      </c>
    </row>
    <row r="163" spans="1:5" x14ac:dyDescent="0.3">
      <c r="A163" t="s">
        <v>546</v>
      </c>
      <c r="B163" t="s">
        <v>545</v>
      </c>
      <c r="C163" t="s">
        <v>1915</v>
      </c>
      <c r="D163" t="s">
        <v>1913</v>
      </c>
      <c r="E163" s="2">
        <v>46292.801388888889</v>
      </c>
    </row>
    <row r="164" spans="1:5" x14ac:dyDescent="0.3">
      <c r="A164" t="s">
        <v>549</v>
      </c>
      <c r="B164" t="s">
        <v>548</v>
      </c>
      <c r="C164" t="s">
        <v>1912</v>
      </c>
      <c r="D164" t="s">
        <v>1913</v>
      </c>
      <c r="E164" s="2">
        <v>46260.663888888892</v>
      </c>
    </row>
    <row r="165" spans="1:5" x14ac:dyDescent="0.3">
      <c r="A165" t="s">
        <v>552</v>
      </c>
      <c r="B165" t="s">
        <v>551</v>
      </c>
      <c r="C165" t="s">
        <v>1912</v>
      </c>
      <c r="D165" t="s">
        <v>1913</v>
      </c>
      <c r="E165" s="2">
        <v>46228.543749999997</v>
      </c>
    </row>
    <row r="166" spans="1:5" x14ac:dyDescent="0.3">
      <c r="A166" t="s">
        <v>557</v>
      </c>
      <c r="B166" t="s">
        <v>556</v>
      </c>
      <c r="C166" t="s">
        <v>1912</v>
      </c>
      <c r="D166" t="s">
        <v>1913</v>
      </c>
      <c r="E166" s="2">
        <v>46251.677083333336</v>
      </c>
    </row>
    <row r="167" spans="1:5" x14ac:dyDescent="0.3">
      <c r="A167" t="s">
        <v>560</v>
      </c>
      <c r="B167" t="s">
        <v>559</v>
      </c>
      <c r="C167" t="s">
        <v>1912</v>
      </c>
      <c r="D167" t="s">
        <v>1913</v>
      </c>
      <c r="E167" s="2">
        <v>46238.62222222222</v>
      </c>
    </row>
    <row r="168" spans="1:5" x14ac:dyDescent="0.3">
      <c r="A168" t="s">
        <v>563</v>
      </c>
      <c r="B168" t="s">
        <v>562</v>
      </c>
      <c r="C168" t="s">
        <v>1914</v>
      </c>
      <c r="D168" t="s">
        <v>1913</v>
      </c>
      <c r="E168" s="2">
        <v>46207.543055555558</v>
      </c>
    </row>
    <row r="169" spans="1:5" x14ac:dyDescent="0.3">
      <c r="A169" t="s">
        <v>568</v>
      </c>
      <c r="B169" t="s">
        <v>567</v>
      </c>
      <c r="C169" t="s">
        <v>1912</v>
      </c>
      <c r="D169" t="s">
        <v>1913</v>
      </c>
      <c r="E169" s="2">
        <v>46293.843055555553</v>
      </c>
    </row>
    <row r="170" spans="1:5" x14ac:dyDescent="0.3">
      <c r="A170" t="s">
        <v>571</v>
      </c>
      <c r="B170" t="s">
        <v>570</v>
      </c>
      <c r="C170" t="s">
        <v>1914</v>
      </c>
      <c r="D170" t="s">
        <v>36</v>
      </c>
      <c r="E170" s="2">
        <v>46236.46875</v>
      </c>
    </row>
    <row r="171" spans="1:5" x14ac:dyDescent="0.3">
      <c r="A171" t="s">
        <v>576</v>
      </c>
      <c r="B171" t="s">
        <v>575</v>
      </c>
      <c r="C171" t="s">
        <v>1914</v>
      </c>
      <c r="D171" t="s">
        <v>1913</v>
      </c>
      <c r="E171" s="2">
        <v>46280.605555555558</v>
      </c>
    </row>
    <row r="172" spans="1:5" x14ac:dyDescent="0.3">
      <c r="A172" t="s">
        <v>579</v>
      </c>
      <c r="B172" t="s">
        <v>578</v>
      </c>
      <c r="C172" t="s">
        <v>1912</v>
      </c>
      <c r="D172" t="s">
        <v>1913</v>
      </c>
      <c r="E172" s="2">
        <v>46282.501388888886</v>
      </c>
    </row>
    <row r="173" spans="1:5" x14ac:dyDescent="0.3">
      <c r="A173" t="s">
        <v>582</v>
      </c>
      <c r="B173" t="s">
        <v>581</v>
      </c>
      <c r="C173" t="s">
        <v>1914</v>
      </c>
      <c r="D173" t="s">
        <v>1913</v>
      </c>
      <c r="E173" s="2">
        <v>46212.647916666669</v>
      </c>
    </row>
    <row r="174" spans="1:5" x14ac:dyDescent="0.3">
      <c r="A174" t="s">
        <v>585</v>
      </c>
      <c r="B174" t="s">
        <v>584</v>
      </c>
      <c r="C174" t="s">
        <v>1912</v>
      </c>
      <c r="D174" t="s">
        <v>1913</v>
      </c>
      <c r="E174" s="2">
        <v>46209.761805555558</v>
      </c>
    </row>
    <row r="175" spans="1:5" x14ac:dyDescent="0.3">
      <c r="A175" t="s">
        <v>588</v>
      </c>
      <c r="B175" t="s">
        <v>587</v>
      </c>
      <c r="C175" t="s">
        <v>1912</v>
      </c>
      <c r="D175" t="s">
        <v>36</v>
      </c>
      <c r="E175" s="2">
        <v>46234.765277777777</v>
      </c>
    </row>
    <row r="176" spans="1:5" x14ac:dyDescent="0.3">
      <c r="A176" t="s">
        <v>591</v>
      </c>
      <c r="B176" t="s">
        <v>590</v>
      </c>
      <c r="C176" t="s">
        <v>1915</v>
      </c>
      <c r="D176" t="s">
        <v>1913</v>
      </c>
      <c r="E176" s="2">
        <v>46273.570138888892</v>
      </c>
    </row>
    <row r="177" spans="1:5" x14ac:dyDescent="0.3">
      <c r="A177" t="s">
        <v>594</v>
      </c>
      <c r="B177" t="s">
        <v>593</v>
      </c>
      <c r="C177" t="s">
        <v>1915</v>
      </c>
      <c r="D177" t="s">
        <v>1913</v>
      </c>
      <c r="E177" s="2">
        <v>46284.427083333336</v>
      </c>
    </row>
    <row r="178" spans="1:5" x14ac:dyDescent="0.3">
      <c r="A178" t="s">
        <v>597</v>
      </c>
      <c r="B178" t="s">
        <v>596</v>
      </c>
      <c r="C178" t="s">
        <v>1914</v>
      </c>
      <c r="D178" t="s">
        <v>1913</v>
      </c>
      <c r="E178" s="2">
        <v>46229.893055555556</v>
      </c>
    </row>
    <row r="179" spans="1:5" x14ac:dyDescent="0.3">
      <c r="A179" t="s">
        <v>600</v>
      </c>
      <c r="B179" t="s">
        <v>599</v>
      </c>
      <c r="C179" t="s">
        <v>1914</v>
      </c>
      <c r="D179" t="s">
        <v>1913</v>
      </c>
      <c r="E179" s="2">
        <v>46286.469444444447</v>
      </c>
    </row>
    <row r="180" spans="1:5" x14ac:dyDescent="0.3">
      <c r="A180" t="s">
        <v>603</v>
      </c>
      <c r="B180" t="s">
        <v>602</v>
      </c>
      <c r="C180" t="s">
        <v>1912</v>
      </c>
      <c r="D180" t="s">
        <v>1913</v>
      </c>
      <c r="E180" s="2">
        <v>46259.918055555558</v>
      </c>
    </row>
    <row r="181" spans="1:5" x14ac:dyDescent="0.3">
      <c r="A181" t="s">
        <v>608</v>
      </c>
      <c r="B181" t="s">
        <v>607</v>
      </c>
      <c r="C181" t="s">
        <v>1912</v>
      </c>
      <c r="D181" t="s">
        <v>1913</v>
      </c>
      <c r="E181" s="2">
        <v>46273.454861111109</v>
      </c>
    </row>
    <row r="182" spans="1:5" x14ac:dyDescent="0.3">
      <c r="A182" t="s">
        <v>611</v>
      </c>
      <c r="B182" t="s">
        <v>610</v>
      </c>
      <c r="C182" t="s">
        <v>1914</v>
      </c>
      <c r="D182" t="s">
        <v>1913</v>
      </c>
      <c r="E182" s="2">
        <v>46225.795138888891</v>
      </c>
    </row>
    <row r="183" spans="1:5" x14ac:dyDescent="0.3">
      <c r="A183" t="s">
        <v>614</v>
      </c>
      <c r="B183" t="s">
        <v>613</v>
      </c>
      <c r="C183" t="s">
        <v>1914</v>
      </c>
      <c r="D183" t="s">
        <v>1913</v>
      </c>
      <c r="E183" s="2">
        <v>46285.813888888886</v>
      </c>
    </row>
    <row r="184" spans="1:5" x14ac:dyDescent="0.3">
      <c r="A184" t="s">
        <v>618</v>
      </c>
      <c r="B184" t="s">
        <v>617</v>
      </c>
      <c r="C184" t="s">
        <v>1914</v>
      </c>
      <c r="D184" t="s">
        <v>1913</v>
      </c>
      <c r="E184" s="2">
        <v>46250.561111111114</v>
      </c>
    </row>
    <row r="185" spans="1:5" x14ac:dyDescent="0.3">
      <c r="A185" t="s">
        <v>621</v>
      </c>
      <c r="B185" t="s">
        <v>620</v>
      </c>
      <c r="C185" t="s">
        <v>1915</v>
      </c>
      <c r="D185" t="s">
        <v>1913</v>
      </c>
      <c r="E185" s="2">
        <v>46277.431944444441</v>
      </c>
    </row>
    <row r="186" spans="1:5" x14ac:dyDescent="0.3">
      <c r="A186" t="s">
        <v>624</v>
      </c>
      <c r="B186" t="s">
        <v>623</v>
      </c>
      <c r="C186" t="s">
        <v>1915</v>
      </c>
      <c r="D186" t="s">
        <v>1913</v>
      </c>
      <c r="E186" s="2">
        <v>46227.634027777778</v>
      </c>
    </row>
    <row r="187" spans="1:5" x14ac:dyDescent="0.3">
      <c r="A187" t="s">
        <v>627</v>
      </c>
      <c r="B187" t="s">
        <v>626</v>
      </c>
      <c r="C187" t="s">
        <v>1914</v>
      </c>
      <c r="D187" t="s">
        <v>1913</v>
      </c>
      <c r="E187" s="2">
        <v>46282.493750000001</v>
      </c>
    </row>
    <row r="188" spans="1:5" x14ac:dyDescent="0.3">
      <c r="A188" t="s">
        <v>630</v>
      </c>
      <c r="B188" t="s">
        <v>629</v>
      </c>
      <c r="C188" t="s">
        <v>1914</v>
      </c>
      <c r="D188" t="s">
        <v>1913</v>
      </c>
      <c r="E188" s="2">
        <v>46226.908333333333</v>
      </c>
    </row>
    <row r="189" spans="1:5" x14ac:dyDescent="0.3">
      <c r="A189" t="s">
        <v>633</v>
      </c>
      <c r="B189" t="s">
        <v>632</v>
      </c>
      <c r="C189" t="s">
        <v>1912</v>
      </c>
      <c r="D189" t="s">
        <v>1913</v>
      </c>
      <c r="E189" s="2">
        <v>46274.660416666666</v>
      </c>
    </row>
    <row r="190" spans="1:5" x14ac:dyDescent="0.3">
      <c r="A190" t="s">
        <v>636</v>
      </c>
      <c r="B190" t="s">
        <v>635</v>
      </c>
      <c r="C190" t="s">
        <v>1912</v>
      </c>
      <c r="D190" t="s">
        <v>1913</v>
      </c>
      <c r="E190" s="2">
        <v>46232.352083333331</v>
      </c>
    </row>
    <row r="191" spans="1:5" x14ac:dyDescent="0.3">
      <c r="A191" t="s">
        <v>639</v>
      </c>
      <c r="B191" t="s">
        <v>638</v>
      </c>
      <c r="C191" t="s">
        <v>1915</v>
      </c>
      <c r="D191" t="s">
        <v>1913</v>
      </c>
      <c r="E191" s="2">
        <v>46263.847222222219</v>
      </c>
    </row>
    <row r="192" spans="1:5" x14ac:dyDescent="0.3">
      <c r="A192" t="s">
        <v>642</v>
      </c>
      <c r="B192" t="s">
        <v>641</v>
      </c>
      <c r="C192" t="s">
        <v>1915</v>
      </c>
      <c r="D192" t="s">
        <v>1913</v>
      </c>
      <c r="E192" s="2">
        <v>46271.581250000003</v>
      </c>
    </row>
    <row r="193" spans="1:5" x14ac:dyDescent="0.3">
      <c r="A193" t="s">
        <v>645</v>
      </c>
      <c r="B193" t="s">
        <v>644</v>
      </c>
      <c r="C193" t="s">
        <v>1914</v>
      </c>
      <c r="D193" t="s">
        <v>1913</v>
      </c>
      <c r="E193" s="2">
        <v>46263.724999999999</v>
      </c>
    </row>
    <row r="194" spans="1:5" x14ac:dyDescent="0.3">
      <c r="A194" t="s">
        <v>648</v>
      </c>
      <c r="B194" t="s">
        <v>647</v>
      </c>
      <c r="C194" t="s">
        <v>1915</v>
      </c>
      <c r="D194" t="s">
        <v>1913</v>
      </c>
      <c r="E194" s="2">
        <v>46259.672222222223</v>
      </c>
    </row>
    <row r="195" spans="1:5" x14ac:dyDescent="0.3">
      <c r="A195" t="s">
        <v>651</v>
      </c>
      <c r="B195" t="s">
        <v>650</v>
      </c>
      <c r="C195" t="s">
        <v>1914</v>
      </c>
      <c r="D195" t="s">
        <v>1913</v>
      </c>
      <c r="E195" s="2">
        <v>46245.900694444441</v>
      </c>
    </row>
    <row r="196" spans="1:5" x14ac:dyDescent="0.3">
      <c r="A196" t="s">
        <v>654</v>
      </c>
      <c r="B196" t="s">
        <v>653</v>
      </c>
      <c r="C196" t="s">
        <v>1914</v>
      </c>
      <c r="D196" t="s">
        <v>1913</v>
      </c>
      <c r="E196" s="2">
        <v>46229.734027777777</v>
      </c>
    </row>
    <row r="197" spans="1:5" x14ac:dyDescent="0.3">
      <c r="A197" t="s">
        <v>657</v>
      </c>
      <c r="B197" t="s">
        <v>656</v>
      </c>
      <c r="C197" t="s">
        <v>1914</v>
      </c>
      <c r="D197" t="s">
        <v>1913</v>
      </c>
      <c r="E197" s="2">
        <v>46279.667361111111</v>
      </c>
    </row>
    <row r="198" spans="1:5" x14ac:dyDescent="0.3">
      <c r="A198" t="s">
        <v>660</v>
      </c>
      <c r="B198" t="s">
        <v>659</v>
      </c>
      <c r="C198" t="s">
        <v>1912</v>
      </c>
      <c r="D198" t="s">
        <v>1916</v>
      </c>
      <c r="E198" s="2">
        <v>46207.367361111108</v>
      </c>
    </row>
    <row r="199" spans="1:5" x14ac:dyDescent="0.3">
      <c r="A199" t="s">
        <v>663</v>
      </c>
      <c r="B199" t="s">
        <v>662</v>
      </c>
      <c r="C199" t="s">
        <v>1912</v>
      </c>
      <c r="D199" t="s">
        <v>1913</v>
      </c>
      <c r="E199" s="2">
        <v>46283.711805555555</v>
      </c>
    </row>
    <row r="200" spans="1:5" x14ac:dyDescent="0.3">
      <c r="A200" t="s">
        <v>666</v>
      </c>
      <c r="B200" t="s">
        <v>665</v>
      </c>
      <c r="C200" t="s">
        <v>1912</v>
      </c>
      <c r="D200" t="s">
        <v>1913</v>
      </c>
      <c r="E200" s="2">
        <v>46242.603472222225</v>
      </c>
    </row>
    <row r="201" spans="1:5" x14ac:dyDescent="0.3">
      <c r="A201" t="s">
        <v>669</v>
      </c>
      <c r="B201" t="s">
        <v>668</v>
      </c>
      <c r="C201" t="s">
        <v>1914</v>
      </c>
      <c r="D201" t="s">
        <v>1913</v>
      </c>
      <c r="E201" s="2">
        <v>46281.421527777777</v>
      </c>
    </row>
    <row r="202" spans="1:5" x14ac:dyDescent="0.3">
      <c r="A202" t="s">
        <v>672</v>
      </c>
      <c r="B202" t="s">
        <v>671</v>
      </c>
      <c r="C202" t="s">
        <v>1914</v>
      </c>
      <c r="D202" t="s">
        <v>1913</v>
      </c>
      <c r="E202" s="2">
        <v>46269.635416666664</v>
      </c>
    </row>
    <row r="203" spans="1:5" x14ac:dyDescent="0.3">
      <c r="A203" t="s">
        <v>675</v>
      </c>
      <c r="B203" t="s">
        <v>674</v>
      </c>
      <c r="C203" t="s">
        <v>1914</v>
      </c>
      <c r="D203" t="s">
        <v>1913</v>
      </c>
      <c r="E203" s="2">
        <v>46210.495138888888</v>
      </c>
    </row>
    <row r="204" spans="1:5" x14ac:dyDescent="0.3">
      <c r="A204" t="s">
        <v>678</v>
      </c>
      <c r="B204" t="s">
        <v>677</v>
      </c>
      <c r="C204" t="s">
        <v>1912</v>
      </c>
      <c r="D204" t="s">
        <v>1913</v>
      </c>
      <c r="E204" s="2">
        <v>46228.822916666664</v>
      </c>
    </row>
    <row r="205" spans="1:5" x14ac:dyDescent="0.3">
      <c r="A205" t="s">
        <v>683</v>
      </c>
      <c r="B205" t="s">
        <v>682</v>
      </c>
      <c r="C205" t="s">
        <v>1912</v>
      </c>
      <c r="D205" t="s">
        <v>1913</v>
      </c>
      <c r="E205" s="2">
        <v>46280.89166666667</v>
      </c>
    </row>
    <row r="206" spans="1:5" x14ac:dyDescent="0.3">
      <c r="A206" t="s">
        <v>686</v>
      </c>
      <c r="B206" t="s">
        <v>685</v>
      </c>
      <c r="C206" t="s">
        <v>1915</v>
      </c>
      <c r="D206" t="s">
        <v>1913</v>
      </c>
      <c r="E206" s="2">
        <v>46221.926388888889</v>
      </c>
    </row>
    <row r="207" spans="1:5" x14ac:dyDescent="0.3">
      <c r="A207" t="s">
        <v>689</v>
      </c>
      <c r="B207" t="s">
        <v>688</v>
      </c>
      <c r="C207" t="s">
        <v>1912</v>
      </c>
      <c r="D207" t="s">
        <v>1913</v>
      </c>
      <c r="E207" s="2">
        <v>46250.67291666667</v>
      </c>
    </row>
    <row r="208" spans="1:5" x14ac:dyDescent="0.3">
      <c r="A208" t="s">
        <v>692</v>
      </c>
      <c r="B208" t="s">
        <v>691</v>
      </c>
      <c r="C208" t="s">
        <v>1915</v>
      </c>
      <c r="D208" t="s">
        <v>1913</v>
      </c>
      <c r="E208" s="2">
        <v>46220.345138888886</v>
      </c>
    </row>
    <row r="209" spans="1:5" x14ac:dyDescent="0.3">
      <c r="A209" t="s">
        <v>695</v>
      </c>
      <c r="B209" t="s">
        <v>694</v>
      </c>
      <c r="C209" t="s">
        <v>1915</v>
      </c>
      <c r="D209" t="s">
        <v>1913</v>
      </c>
      <c r="E209" s="2">
        <v>46281.652777777781</v>
      </c>
    </row>
    <row r="210" spans="1:5" x14ac:dyDescent="0.3">
      <c r="A210" t="s">
        <v>698</v>
      </c>
      <c r="B210" t="s">
        <v>697</v>
      </c>
      <c r="C210" t="s">
        <v>1915</v>
      </c>
      <c r="D210" t="s">
        <v>1913</v>
      </c>
      <c r="E210" s="2">
        <v>46262.420138888891</v>
      </c>
    </row>
    <row r="211" spans="1:5" x14ac:dyDescent="0.3">
      <c r="A211" t="s">
        <v>701</v>
      </c>
      <c r="B211" t="s">
        <v>700</v>
      </c>
      <c r="C211" t="s">
        <v>1915</v>
      </c>
      <c r="D211" t="s">
        <v>1913</v>
      </c>
      <c r="E211" s="2">
        <v>46279.508333333331</v>
      </c>
    </row>
    <row r="212" spans="1:5" x14ac:dyDescent="0.3">
      <c r="A212" t="s">
        <v>704</v>
      </c>
      <c r="B212" t="s">
        <v>703</v>
      </c>
      <c r="C212" t="s">
        <v>1915</v>
      </c>
      <c r="D212" t="s">
        <v>1913</v>
      </c>
      <c r="E212" s="2">
        <v>46251.518055555556</v>
      </c>
    </row>
    <row r="213" spans="1:5" x14ac:dyDescent="0.3">
      <c r="A213" t="s">
        <v>707</v>
      </c>
      <c r="B213" t="s">
        <v>706</v>
      </c>
      <c r="C213" t="s">
        <v>1912</v>
      </c>
      <c r="D213" t="s">
        <v>1913</v>
      </c>
      <c r="E213" s="2">
        <v>46287.847916666666</v>
      </c>
    </row>
    <row r="214" spans="1:5" x14ac:dyDescent="0.3">
      <c r="A214" t="s">
        <v>712</v>
      </c>
      <c r="B214" t="s">
        <v>711</v>
      </c>
      <c r="C214" t="s">
        <v>1912</v>
      </c>
      <c r="D214" t="s">
        <v>1913</v>
      </c>
      <c r="E214" s="2">
        <v>46228.341666666667</v>
      </c>
    </row>
    <row r="215" spans="1:5" x14ac:dyDescent="0.3">
      <c r="A215" t="s">
        <v>715</v>
      </c>
      <c r="B215" t="s">
        <v>714</v>
      </c>
      <c r="C215" t="s">
        <v>1915</v>
      </c>
      <c r="D215" t="s">
        <v>1913</v>
      </c>
      <c r="E215" s="2">
        <v>46211.785416666666</v>
      </c>
    </row>
    <row r="216" spans="1:5" x14ac:dyDescent="0.3">
      <c r="A216" t="s">
        <v>718</v>
      </c>
      <c r="B216" t="s">
        <v>717</v>
      </c>
      <c r="C216" t="s">
        <v>1914</v>
      </c>
      <c r="D216" t="s">
        <v>1913</v>
      </c>
      <c r="E216" s="2">
        <v>46226.607638888891</v>
      </c>
    </row>
    <row r="217" spans="1:5" x14ac:dyDescent="0.3">
      <c r="A217" t="s">
        <v>721</v>
      </c>
      <c r="B217" t="s">
        <v>720</v>
      </c>
      <c r="C217" t="s">
        <v>1912</v>
      </c>
      <c r="D217" t="s">
        <v>1913</v>
      </c>
      <c r="E217" s="2">
        <v>46235.507638888892</v>
      </c>
    </row>
    <row r="218" spans="1:5" x14ac:dyDescent="0.3">
      <c r="A218" t="s">
        <v>724</v>
      </c>
      <c r="B218" t="s">
        <v>723</v>
      </c>
      <c r="C218" t="s">
        <v>1915</v>
      </c>
      <c r="D218" t="s">
        <v>1913</v>
      </c>
      <c r="E218" s="2">
        <v>46244.617361111108</v>
      </c>
    </row>
    <row r="219" spans="1:5" x14ac:dyDescent="0.3">
      <c r="A219" t="s">
        <v>729</v>
      </c>
      <c r="B219" t="s">
        <v>728</v>
      </c>
      <c r="C219" t="s">
        <v>1914</v>
      </c>
      <c r="D219" t="s">
        <v>1913</v>
      </c>
      <c r="E219" s="2">
        <v>46248.929166666669</v>
      </c>
    </row>
    <row r="220" spans="1:5" x14ac:dyDescent="0.3">
      <c r="A220" t="s">
        <v>732</v>
      </c>
      <c r="B220" t="s">
        <v>731</v>
      </c>
      <c r="C220" t="s">
        <v>1912</v>
      </c>
      <c r="D220" t="s">
        <v>1913</v>
      </c>
      <c r="E220" s="2">
        <v>46275.77847222222</v>
      </c>
    </row>
    <row r="221" spans="1:5" x14ac:dyDescent="0.3">
      <c r="A221" t="s">
        <v>735</v>
      </c>
      <c r="B221" t="s">
        <v>734</v>
      </c>
      <c r="C221" t="s">
        <v>1914</v>
      </c>
      <c r="D221" t="s">
        <v>1913</v>
      </c>
      <c r="E221" s="2">
        <v>46232.7</v>
      </c>
    </row>
    <row r="222" spans="1:5" x14ac:dyDescent="0.3">
      <c r="A222" t="s">
        <v>738</v>
      </c>
      <c r="B222" t="s">
        <v>737</v>
      </c>
      <c r="C222" t="s">
        <v>1914</v>
      </c>
      <c r="D222" t="s">
        <v>1913</v>
      </c>
      <c r="E222" s="2">
        <v>46204.700694444444</v>
      </c>
    </row>
    <row r="223" spans="1:5" x14ac:dyDescent="0.3">
      <c r="A223" t="s">
        <v>741</v>
      </c>
      <c r="B223" t="s">
        <v>740</v>
      </c>
      <c r="C223" t="s">
        <v>1914</v>
      </c>
      <c r="D223" t="s">
        <v>1913</v>
      </c>
      <c r="E223" s="2">
        <v>46245.494444444441</v>
      </c>
    </row>
    <row r="224" spans="1:5" x14ac:dyDescent="0.3">
      <c r="A224" t="s">
        <v>744</v>
      </c>
      <c r="B224" t="s">
        <v>743</v>
      </c>
      <c r="C224" t="s">
        <v>1914</v>
      </c>
      <c r="D224" t="s">
        <v>1913</v>
      </c>
      <c r="E224" s="2">
        <v>46226.616666666669</v>
      </c>
    </row>
    <row r="225" spans="1:5" x14ac:dyDescent="0.3">
      <c r="A225" t="s">
        <v>747</v>
      </c>
      <c r="B225" t="s">
        <v>746</v>
      </c>
      <c r="C225" t="s">
        <v>1914</v>
      </c>
      <c r="D225" t="s">
        <v>1916</v>
      </c>
      <c r="E225" s="2">
        <v>46241.894444444442</v>
      </c>
    </row>
    <row r="226" spans="1:5" x14ac:dyDescent="0.3">
      <c r="A226" t="s">
        <v>750</v>
      </c>
      <c r="B226" t="s">
        <v>749</v>
      </c>
      <c r="C226" t="s">
        <v>1915</v>
      </c>
      <c r="D226" t="s">
        <v>1913</v>
      </c>
      <c r="E226" s="2">
        <v>46271.620138888888</v>
      </c>
    </row>
    <row r="227" spans="1:5" x14ac:dyDescent="0.3">
      <c r="A227" t="s">
        <v>753</v>
      </c>
      <c r="B227" t="s">
        <v>752</v>
      </c>
      <c r="C227" t="s">
        <v>1915</v>
      </c>
      <c r="D227" t="s">
        <v>1913</v>
      </c>
      <c r="E227" s="2">
        <v>46246.432638888888</v>
      </c>
    </row>
    <row r="228" spans="1:5" x14ac:dyDescent="0.3">
      <c r="A228" t="s">
        <v>756</v>
      </c>
      <c r="B228" t="s">
        <v>755</v>
      </c>
      <c r="C228" t="s">
        <v>1912</v>
      </c>
      <c r="D228" t="s">
        <v>1913</v>
      </c>
      <c r="E228" s="2">
        <v>46276.770138888889</v>
      </c>
    </row>
    <row r="229" spans="1:5" x14ac:dyDescent="0.3">
      <c r="A229" t="s">
        <v>759</v>
      </c>
      <c r="B229" t="s">
        <v>758</v>
      </c>
      <c r="C229" t="s">
        <v>1912</v>
      </c>
      <c r="D229" t="s">
        <v>1913</v>
      </c>
      <c r="E229" s="2">
        <v>46245.372916666667</v>
      </c>
    </row>
    <row r="230" spans="1:5" x14ac:dyDescent="0.3">
      <c r="A230" t="s">
        <v>762</v>
      </c>
      <c r="B230" t="s">
        <v>761</v>
      </c>
      <c r="C230" t="s">
        <v>1912</v>
      </c>
      <c r="D230" t="s">
        <v>1913</v>
      </c>
      <c r="E230" s="2">
        <v>46204.477083333331</v>
      </c>
    </row>
    <row r="231" spans="1:5" x14ac:dyDescent="0.3">
      <c r="A231" t="s">
        <v>765</v>
      </c>
      <c r="B231" t="s">
        <v>764</v>
      </c>
      <c r="C231" t="s">
        <v>1912</v>
      </c>
      <c r="D231" t="s">
        <v>1913</v>
      </c>
      <c r="E231" s="2">
        <v>46237.762499999997</v>
      </c>
    </row>
    <row r="232" spans="1:5" x14ac:dyDescent="0.3">
      <c r="A232" t="s">
        <v>768</v>
      </c>
      <c r="B232" t="s">
        <v>767</v>
      </c>
      <c r="C232" t="s">
        <v>1915</v>
      </c>
      <c r="D232" t="s">
        <v>1913</v>
      </c>
      <c r="E232" s="2">
        <v>46291.68472222222</v>
      </c>
    </row>
    <row r="233" spans="1:5" x14ac:dyDescent="0.3">
      <c r="A233" t="s">
        <v>770</v>
      </c>
      <c r="B233" t="s">
        <v>769</v>
      </c>
      <c r="C233" t="s">
        <v>1914</v>
      </c>
      <c r="D233" t="s">
        <v>1913</v>
      </c>
      <c r="E233" s="2">
        <v>46251.673611111109</v>
      </c>
    </row>
    <row r="234" spans="1:5" x14ac:dyDescent="0.3">
      <c r="A234" t="s">
        <v>773</v>
      </c>
      <c r="B234" t="s">
        <v>772</v>
      </c>
      <c r="C234" t="s">
        <v>1915</v>
      </c>
      <c r="D234" t="s">
        <v>1913</v>
      </c>
      <c r="E234" s="2">
        <v>46257.81527777778</v>
      </c>
    </row>
    <row r="235" spans="1:5" x14ac:dyDescent="0.3">
      <c r="A235" t="s">
        <v>778</v>
      </c>
      <c r="B235" t="s">
        <v>777</v>
      </c>
      <c r="C235" t="s">
        <v>1915</v>
      </c>
      <c r="D235" t="s">
        <v>1913</v>
      </c>
      <c r="E235" s="2">
        <v>46268.459027777775</v>
      </c>
    </row>
    <row r="236" spans="1:5" x14ac:dyDescent="0.3">
      <c r="A236" t="s">
        <v>781</v>
      </c>
      <c r="B236" t="s">
        <v>780</v>
      </c>
      <c r="C236" t="s">
        <v>1915</v>
      </c>
      <c r="D236" t="s">
        <v>1913</v>
      </c>
      <c r="E236" s="2">
        <v>46295.694444444445</v>
      </c>
    </row>
    <row r="237" spans="1:5" x14ac:dyDescent="0.3">
      <c r="A237" t="s">
        <v>784</v>
      </c>
      <c r="B237" t="s">
        <v>783</v>
      </c>
      <c r="C237" t="s">
        <v>1912</v>
      </c>
      <c r="D237" t="s">
        <v>1913</v>
      </c>
      <c r="E237" s="2">
        <v>46262.666666666664</v>
      </c>
    </row>
    <row r="238" spans="1:5" x14ac:dyDescent="0.3">
      <c r="A238" t="s">
        <v>787</v>
      </c>
      <c r="B238" t="s">
        <v>786</v>
      </c>
      <c r="C238" t="s">
        <v>1914</v>
      </c>
      <c r="D238" t="s">
        <v>1913</v>
      </c>
      <c r="E238" s="2">
        <v>46231.704861111109</v>
      </c>
    </row>
    <row r="239" spans="1:5" x14ac:dyDescent="0.3">
      <c r="A239" t="s">
        <v>790</v>
      </c>
      <c r="B239" t="s">
        <v>789</v>
      </c>
      <c r="C239" t="s">
        <v>1912</v>
      </c>
      <c r="D239" t="s">
        <v>1913</v>
      </c>
      <c r="E239" s="2">
        <v>46264.311111111114</v>
      </c>
    </row>
    <row r="240" spans="1:5" x14ac:dyDescent="0.3">
      <c r="A240" t="s">
        <v>793</v>
      </c>
      <c r="B240" t="s">
        <v>792</v>
      </c>
      <c r="C240" t="s">
        <v>1912</v>
      </c>
      <c r="D240" t="s">
        <v>1913</v>
      </c>
      <c r="E240" s="2">
        <v>46261.87222222222</v>
      </c>
    </row>
    <row r="241" spans="1:5" x14ac:dyDescent="0.3">
      <c r="A241" t="s">
        <v>796</v>
      </c>
      <c r="B241" t="s">
        <v>795</v>
      </c>
      <c r="C241" t="s">
        <v>1915</v>
      </c>
      <c r="D241" t="s">
        <v>1913</v>
      </c>
      <c r="E241" s="2">
        <v>46219.408333333333</v>
      </c>
    </row>
    <row r="242" spans="1:5" x14ac:dyDescent="0.3">
      <c r="A242" t="s">
        <v>799</v>
      </c>
      <c r="B242" t="s">
        <v>798</v>
      </c>
      <c r="C242" t="s">
        <v>1914</v>
      </c>
      <c r="D242" t="s">
        <v>1913</v>
      </c>
      <c r="E242" s="2">
        <v>46263.745833333334</v>
      </c>
    </row>
    <row r="243" spans="1:5" x14ac:dyDescent="0.3">
      <c r="A243" t="s">
        <v>802</v>
      </c>
      <c r="B243" t="s">
        <v>801</v>
      </c>
      <c r="C243" t="s">
        <v>1915</v>
      </c>
      <c r="D243" t="s">
        <v>1913</v>
      </c>
      <c r="E243" s="2">
        <v>46239.441666666666</v>
      </c>
    </row>
    <row r="244" spans="1:5" x14ac:dyDescent="0.3">
      <c r="A244" t="s">
        <v>805</v>
      </c>
      <c r="B244" t="s">
        <v>804</v>
      </c>
      <c r="C244" t="s">
        <v>1915</v>
      </c>
      <c r="D244" t="s">
        <v>1913</v>
      </c>
      <c r="E244" s="2">
        <v>46234.430555555555</v>
      </c>
    </row>
    <row r="245" spans="1:5" x14ac:dyDescent="0.3">
      <c r="A245" t="s">
        <v>808</v>
      </c>
      <c r="B245" t="s">
        <v>807</v>
      </c>
      <c r="C245" t="s">
        <v>1915</v>
      </c>
      <c r="D245" t="s">
        <v>1913</v>
      </c>
      <c r="E245" s="2">
        <v>46255.60833333333</v>
      </c>
    </row>
    <row r="246" spans="1:5" x14ac:dyDescent="0.3">
      <c r="A246" t="s">
        <v>811</v>
      </c>
      <c r="B246" t="s">
        <v>810</v>
      </c>
      <c r="C246" t="s">
        <v>1912</v>
      </c>
      <c r="D246" t="s">
        <v>1913</v>
      </c>
      <c r="E246" s="2">
        <v>46233.865972222222</v>
      </c>
    </row>
    <row r="247" spans="1:5" x14ac:dyDescent="0.3">
      <c r="A247" t="s">
        <v>814</v>
      </c>
      <c r="B247" t="s">
        <v>813</v>
      </c>
      <c r="C247" t="s">
        <v>1915</v>
      </c>
      <c r="D247" t="s">
        <v>36</v>
      </c>
      <c r="E247" s="2">
        <v>46288.617361111108</v>
      </c>
    </row>
    <row r="248" spans="1:5" x14ac:dyDescent="0.3">
      <c r="A248" t="s">
        <v>817</v>
      </c>
      <c r="B248" t="s">
        <v>816</v>
      </c>
      <c r="C248" t="s">
        <v>1915</v>
      </c>
      <c r="D248" t="s">
        <v>1913</v>
      </c>
      <c r="E248" s="2">
        <v>46284.734027777777</v>
      </c>
    </row>
    <row r="249" spans="1:5" x14ac:dyDescent="0.3">
      <c r="A249" t="s">
        <v>820</v>
      </c>
      <c r="B249" t="s">
        <v>819</v>
      </c>
      <c r="C249" t="s">
        <v>1915</v>
      </c>
      <c r="D249" t="s">
        <v>1913</v>
      </c>
      <c r="E249" s="2">
        <v>46293.569444444445</v>
      </c>
    </row>
    <row r="250" spans="1:5" x14ac:dyDescent="0.3">
      <c r="A250" t="s">
        <v>823</v>
      </c>
      <c r="B250" t="s">
        <v>822</v>
      </c>
      <c r="C250" t="s">
        <v>1914</v>
      </c>
      <c r="D250" t="s">
        <v>1913</v>
      </c>
      <c r="E250" s="2">
        <v>46242.85</v>
      </c>
    </row>
    <row r="251" spans="1:5" x14ac:dyDescent="0.3">
      <c r="A251" t="s">
        <v>826</v>
      </c>
      <c r="B251" t="s">
        <v>825</v>
      </c>
      <c r="C251" t="s">
        <v>1914</v>
      </c>
      <c r="D251" t="s">
        <v>1913</v>
      </c>
      <c r="E251" s="2">
        <v>46275.659722222219</v>
      </c>
    </row>
    <row r="252" spans="1:5" x14ac:dyDescent="0.3">
      <c r="A252" t="s">
        <v>829</v>
      </c>
      <c r="B252" t="s">
        <v>828</v>
      </c>
      <c r="C252" t="s">
        <v>1915</v>
      </c>
      <c r="D252" t="s">
        <v>1913</v>
      </c>
      <c r="E252" s="2">
        <v>46215.645833333336</v>
      </c>
    </row>
    <row r="253" spans="1:5" x14ac:dyDescent="0.3">
      <c r="A253" t="s">
        <v>832</v>
      </c>
      <c r="B253" t="s">
        <v>831</v>
      </c>
      <c r="C253" t="s">
        <v>1915</v>
      </c>
      <c r="D253" t="s">
        <v>1913</v>
      </c>
      <c r="E253" s="2">
        <v>46228.86041666667</v>
      </c>
    </row>
    <row r="254" spans="1:5" x14ac:dyDescent="0.3">
      <c r="A254" t="s">
        <v>835</v>
      </c>
      <c r="B254" t="s">
        <v>834</v>
      </c>
      <c r="C254" t="s">
        <v>1912</v>
      </c>
      <c r="D254" t="s">
        <v>1913</v>
      </c>
      <c r="E254" s="2">
        <v>46242.87222222222</v>
      </c>
    </row>
    <row r="255" spans="1:5" x14ac:dyDescent="0.3">
      <c r="A255" t="s">
        <v>838</v>
      </c>
      <c r="B255" t="s">
        <v>837</v>
      </c>
      <c r="C255" t="s">
        <v>1912</v>
      </c>
      <c r="D255" t="s">
        <v>36</v>
      </c>
      <c r="E255" s="2">
        <v>46235.777777777781</v>
      </c>
    </row>
    <row r="256" spans="1:5" x14ac:dyDescent="0.3">
      <c r="A256" t="s">
        <v>841</v>
      </c>
      <c r="B256" t="s">
        <v>840</v>
      </c>
      <c r="C256" t="s">
        <v>1915</v>
      </c>
      <c r="D256" t="s">
        <v>1913</v>
      </c>
      <c r="E256" s="2">
        <v>46252.643055555556</v>
      </c>
    </row>
    <row r="257" spans="1:5" x14ac:dyDescent="0.3">
      <c r="A257" t="s">
        <v>844</v>
      </c>
      <c r="B257" t="s">
        <v>843</v>
      </c>
      <c r="C257" t="s">
        <v>1914</v>
      </c>
      <c r="D257" t="s">
        <v>1913</v>
      </c>
      <c r="E257" s="2">
        <v>46216.861111111109</v>
      </c>
    </row>
    <row r="258" spans="1:5" x14ac:dyDescent="0.3">
      <c r="A258" t="s">
        <v>847</v>
      </c>
      <c r="B258" t="s">
        <v>846</v>
      </c>
      <c r="C258" t="s">
        <v>1914</v>
      </c>
      <c r="D258" t="s">
        <v>1913</v>
      </c>
      <c r="E258" s="2">
        <v>46276.826388888891</v>
      </c>
    </row>
    <row r="259" spans="1:5" x14ac:dyDescent="0.3">
      <c r="A259" t="s">
        <v>850</v>
      </c>
      <c r="B259" t="s">
        <v>849</v>
      </c>
      <c r="C259" t="s">
        <v>1912</v>
      </c>
      <c r="D259" t="s">
        <v>1913</v>
      </c>
      <c r="E259" s="2">
        <v>46241.364583333336</v>
      </c>
    </row>
    <row r="260" spans="1:5" x14ac:dyDescent="0.3">
      <c r="A260" t="s">
        <v>853</v>
      </c>
      <c r="B260" t="s">
        <v>852</v>
      </c>
      <c r="C260" t="s">
        <v>1912</v>
      </c>
      <c r="D260" t="s">
        <v>1913</v>
      </c>
      <c r="E260" s="2">
        <v>46236.817361111112</v>
      </c>
    </row>
    <row r="261" spans="1:5" x14ac:dyDescent="0.3">
      <c r="A261" t="s">
        <v>856</v>
      </c>
      <c r="B261" t="s">
        <v>855</v>
      </c>
      <c r="C261" t="s">
        <v>1915</v>
      </c>
      <c r="D261" t="s">
        <v>1913</v>
      </c>
      <c r="E261" s="2">
        <v>46225.445138888892</v>
      </c>
    </row>
    <row r="262" spans="1:5" x14ac:dyDescent="0.3">
      <c r="A262" t="s">
        <v>861</v>
      </c>
      <c r="B262" t="s">
        <v>860</v>
      </c>
      <c r="C262" t="s">
        <v>1912</v>
      </c>
      <c r="D262" t="s">
        <v>1913</v>
      </c>
      <c r="E262" s="2">
        <v>46205.422222222223</v>
      </c>
    </row>
    <row r="263" spans="1:5" x14ac:dyDescent="0.3">
      <c r="A263" t="s">
        <v>864</v>
      </c>
      <c r="B263" t="s">
        <v>863</v>
      </c>
      <c r="C263" t="s">
        <v>1915</v>
      </c>
      <c r="D263" t="s">
        <v>1913</v>
      </c>
      <c r="E263" s="2">
        <v>46206.301388888889</v>
      </c>
    </row>
    <row r="264" spans="1:5" x14ac:dyDescent="0.3">
      <c r="A264" t="s">
        <v>867</v>
      </c>
      <c r="B264" t="s">
        <v>866</v>
      </c>
      <c r="C264" t="s">
        <v>1915</v>
      </c>
      <c r="D264" t="s">
        <v>1913</v>
      </c>
      <c r="E264" s="2">
        <v>46206.644444444442</v>
      </c>
    </row>
    <row r="265" spans="1:5" x14ac:dyDescent="0.3">
      <c r="A265" t="s">
        <v>870</v>
      </c>
      <c r="B265" t="s">
        <v>869</v>
      </c>
      <c r="C265" t="s">
        <v>1915</v>
      </c>
      <c r="D265" t="s">
        <v>1913</v>
      </c>
      <c r="E265" s="2">
        <v>46223.410416666666</v>
      </c>
    </row>
    <row r="266" spans="1:5" x14ac:dyDescent="0.3">
      <c r="A266" t="s">
        <v>872</v>
      </c>
      <c r="B266" t="s">
        <v>871</v>
      </c>
      <c r="C266" t="s">
        <v>1915</v>
      </c>
      <c r="D266" t="s">
        <v>1913</v>
      </c>
      <c r="E266" s="2">
        <v>46251.594444444447</v>
      </c>
    </row>
    <row r="267" spans="1:5" x14ac:dyDescent="0.3">
      <c r="A267" t="s">
        <v>875</v>
      </c>
      <c r="B267" t="s">
        <v>874</v>
      </c>
      <c r="C267" t="s">
        <v>1914</v>
      </c>
      <c r="D267" t="s">
        <v>1913</v>
      </c>
      <c r="E267" s="2">
        <v>46287.850694444445</v>
      </c>
    </row>
    <row r="268" spans="1:5" x14ac:dyDescent="0.3">
      <c r="A268" t="s">
        <v>878</v>
      </c>
      <c r="B268" t="s">
        <v>877</v>
      </c>
      <c r="C268" t="s">
        <v>1915</v>
      </c>
      <c r="D268" t="s">
        <v>1913</v>
      </c>
      <c r="E268" s="2">
        <v>46285.354166666664</v>
      </c>
    </row>
    <row r="269" spans="1:5" x14ac:dyDescent="0.3">
      <c r="A269" t="s">
        <v>881</v>
      </c>
      <c r="B269" t="s">
        <v>880</v>
      </c>
      <c r="C269" t="s">
        <v>1915</v>
      </c>
      <c r="D269" t="s">
        <v>1913</v>
      </c>
      <c r="E269" s="2">
        <v>46271.863194444442</v>
      </c>
    </row>
    <row r="270" spans="1:5" x14ac:dyDescent="0.3">
      <c r="A270" t="s">
        <v>884</v>
      </c>
      <c r="B270" t="s">
        <v>883</v>
      </c>
      <c r="C270" t="s">
        <v>1915</v>
      </c>
      <c r="D270" t="s">
        <v>1913</v>
      </c>
      <c r="E270" s="2">
        <v>46213.772916666669</v>
      </c>
    </row>
    <row r="271" spans="1:5" x14ac:dyDescent="0.3">
      <c r="A271" t="s">
        <v>887</v>
      </c>
      <c r="B271" t="s">
        <v>886</v>
      </c>
      <c r="C271" t="s">
        <v>1914</v>
      </c>
      <c r="D271" t="s">
        <v>1913</v>
      </c>
      <c r="E271" s="2">
        <v>46206.423611111109</v>
      </c>
    </row>
    <row r="272" spans="1:5" x14ac:dyDescent="0.3">
      <c r="A272" t="s">
        <v>890</v>
      </c>
      <c r="B272" t="s">
        <v>889</v>
      </c>
      <c r="C272" t="s">
        <v>1914</v>
      </c>
      <c r="D272" t="s">
        <v>1913</v>
      </c>
      <c r="E272" s="2">
        <v>46276.851388888892</v>
      </c>
    </row>
    <row r="273" spans="1:5" x14ac:dyDescent="0.3">
      <c r="A273" t="s">
        <v>893</v>
      </c>
      <c r="B273" t="s">
        <v>892</v>
      </c>
      <c r="C273" t="s">
        <v>1912</v>
      </c>
      <c r="D273" t="s">
        <v>1913</v>
      </c>
      <c r="E273" s="2">
        <v>46292.765972222223</v>
      </c>
    </row>
    <row r="274" spans="1:5" x14ac:dyDescent="0.3">
      <c r="A274" t="s">
        <v>896</v>
      </c>
      <c r="B274" t="s">
        <v>895</v>
      </c>
      <c r="C274" t="s">
        <v>1915</v>
      </c>
      <c r="D274" t="s">
        <v>1913</v>
      </c>
      <c r="E274" s="2">
        <v>46247.689583333333</v>
      </c>
    </row>
    <row r="275" spans="1:5" x14ac:dyDescent="0.3">
      <c r="A275" t="s">
        <v>899</v>
      </c>
      <c r="B275" t="s">
        <v>898</v>
      </c>
      <c r="C275" t="s">
        <v>1915</v>
      </c>
      <c r="D275" t="s">
        <v>1913</v>
      </c>
      <c r="E275" s="2">
        <v>46266.462500000001</v>
      </c>
    </row>
    <row r="276" spans="1:5" x14ac:dyDescent="0.3">
      <c r="A276" t="s">
        <v>902</v>
      </c>
      <c r="B276" t="s">
        <v>901</v>
      </c>
      <c r="C276" t="s">
        <v>1914</v>
      </c>
      <c r="D276" t="s">
        <v>1913</v>
      </c>
      <c r="E276" s="2">
        <v>46283.497916666667</v>
      </c>
    </row>
    <row r="277" spans="1:5" x14ac:dyDescent="0.3">
      <c r="A277" t="s">
        <v>905</v>
      </c>
      <c r="B277" t="s">
        <v>904</v>
      </c>
      <c r="C277" t="s">
        <v>1915</v>
      </c>
      <c r="D277" t="s">
        <v>1913</v>
      </c>
      <c r="E277" s="2">
        <v>46253.508333333331</v>
      </c>
    </row>
    <row r="278" spans="1:5" x14ac:dyDescent="0.3">
      <c r="A278" t="s">
        <v>908</v>
      </c>
      <c r="B278" t="s">
        <v>907</v>
      </c>
      <c r="C278" t="s">
        <v>1915</v>
      </c>
      <c r="D278" t="s">
        <v>1913</v>
      </c>
      <c r="E278" s="2">
        <v>46217.368055555555</v>
      </c>
    </row>
    <row r="279" spans="1:5" x14ac:dyDescent="0.3">
      <c r="A279" t="s">
        <v>912</v>
      </c>
      <c r="B279" t="s">
        <v>911</v>
      </c>
      <c r="C279" t="s">
        <v>1915</v>
      </c>
      <c r="D279" t="s">
        <v>1913</v>
      </c>
      <c r="E279" s="2">
        <v>46253.780555555553</v>
      </c>
    </row>
    <row r="280" spans="1:5" x14ac:dyDescent="0.3">
      <c r="A280" t="s">
        <v>915</v>
      </c>
      <c r="B280" t="s">
        <v>914</v>
      </c>
      <c r="C280" t="s">
        <v>1912</v>
      </c>
      <c r="D280" t="s">
        <v>1913</v>
      </c>
      <c r="E280" s="2">
        <v>46225.413888888892</v>
      </c>
    </row>
    <row r="281" spans="1:5" x14ac:dyDescent="0.3">
      <c r="A281" t="s">
        <v>918</v>
      </c>
      <c r="B281" t="s">
        <v>917</v>
      </c>
      <c r="C281" t="s">
        <v>1915</v>
      </c>
      <c r="D281" t="s">
        <v>1913</v>
      </c>
      <c r="E281" s="2">
        <v>46242.652083333334</v>
      </c>
    </row>
    <row r="282" spans="1:5" x14ac:dyDescent="0.3">
      <c r="A282" t="s">
        <v>921</v>
      </c>
      <c r="B282" t="s">
        <v>920</v>
      </c>
      <c r="C282" t="s">
        <v>1915</v>
      </c>
      <c r="D282" t="s">
        <v>1913</v>
      </c>
      <c r="E282" s="2">
        <v>46262.37222222222</v>
      </c>
    </row>
    <row r="283" spans="1:5" x14ac:dyDescent="0.3">
      <c r="A283" t="s">
        <v>924</v>
      </c>
      <c r="B283" t="s">
        <v>923</v>
      </c>
      <c r="C283" t="s">
        <v>1912</v>
      </c>
      <c r="D283" t="s">
        <v>1913</v>
      </c>
      <c r="E283" s="2">
        <v>46260.534722222219</v>
      </c>
    </row>
    <row r="284" spans="1:5" x14ac:dyDescent="0.3">
      <c r="A284" t="s">
        <v>927</v>
      </c>
      <c r="B284" t="s">
        <v>926</v>
      </c>
      <c r="C284" t="s">
        <v>1914</v>
      </c>
      <c r="D284" t="s">
        <v>1913</v>
      </c>
      <c r="E284" s="2">
        <v>46265.506944444445</v>
      </c>
    </row>
    <row r="285" spans="1:5" x14ac:dyDescent="0.3">
      <c r="A285" t="s">
        <v>930</v>
      </c>
      <c r="B285" t="s">
        <v>929</v>
      </c>
      <c r="C285" t="s">
        <v>1912</v>
      </c>
      <c r="D285" t="s">
        <v>1913</v>
      </c>
      <c r="E285" s="2">
        <v>46245.581944444442</v>
      </c>
    </row>
    <row r="286" spans="1:5" x14ac:dyDescent="0.3">
      <c r="A286" t="s">
        <v>933</v>
      </c>
      <c r="B286" t="s">
        <v>932</v>
      </c>
      <c r="C286" t="s">
        <v>1912</v>
      </c>
      <c r="D286" t="s">
        <v>1913</v>
      </c>
      <c r="E286" s="2">
        <v>46227.743750000001</v>
      </c>
    </row>
    <row r="287" spans="1:5" x14ac:dyDescent="0.3">
      <c r="A287" t="s">
        <v>936</v>
      </c>
      <c r="B287" t="s">
        <v>935</v>
      </c>
      <c r="C287" t="s">
        <v>1914</v>
      </c>
      <c r="D287" t="s">
        <v>1913</v>
      </c>
      <c r="E287" s="2">
        <v>46292.395138888889</v>
      </c>
    </row>
    <row r="288" spans="1:5" x14ac:dyDescent="0.3">
      <c r="A288" t="s">
        <v>939</v>
      </c>
      <c r="B288" t="s">
        <v>938</v>
      </c>
      <c r="C288" t="s">
        <v>1912</v>
      </c>
      <c r="D288" t="s">
        <v>1913</v>
      </c>
      <c r="E288" s="2">
        <v>46234.475694444445</v>
      </c>
    </row>
    <row r="289" spans="1:5" x14ac:dyDescent="0.3">
      <c r="A289" t="s">
        <v>942</v>
      </c>
      <c r="B289" t="s">
        <v>941</v>
      </c>
      <c r="C289" t="s">
        <v>1915</v>
      </c>
      <c r="D289" t="s">
        <v>1913</v>
      </c>
      <c r="E289" s="2">
        <v>46278.552083333336</v>
      </c>
    </row>
    <row r="290" spans="1:5" x14ac:dyDescent="0.3">
      <c r="A290" t="s">
        <v>945</v>
      </c>
      <c r="B290" t="s">
        <v>944</v>
      </c>
      <c r="C290" t="s">
        <v>1915</v>
      </c>
      <c r="D290" t="s">
        <v>1913</v>
      </c>
      <c r="E290" s="2">
        <v>46293.925000000003</v>
      </c>
    </row>
    <row r="291" spans="1:5" x14ac:dyDescent="0.3">
      <c r="A291" t="s">
        <v>948</v>
      </c>
      <c r="B291" t="s">
        <v>947</v>
      </c>
      <c r="C291" t="s">
        <v>1914</v>
      </c>
      <c r="D291" t="s">
        <v>1913</v>
      </c>
      <c r="E291" s="2">
        <v>46225.727083333331</v>
      </c>
    </row>
    <row r="292" spans="1:5" x14ac:dyDescent="0.3">
      <c r="A292" t="s">
        <v>951</v>
      </c>
      <c r="B292" t="s">
        <v>950</v>
      </c>
      <c r="C292" t="s">
        <v>1915</v>
      </c>
      <c r="D292" t="s">
        <v>1913</v>
      </c>
      <c r="E292" s="2">
        <v>46259.327777777777</v>
      </c>
    </row>
    <row r="293" spans="1:5" x14ac:dyDescent="0.3">
      <c r="A293" t="s">
        <v>954</v>
      </c>
      <c r="B293" t="s">
        <v>953</v>
      </c>
      <c r="C293" t="s">
        <v>1915</v>
      </c>
      <c r="D293" t="s">
        <v>1913</v>
      </c>
      <c r="E293" s="2">
        <v>46261.510416666664</v>
      </c>
    </row>
    <row r="294" spans="1:5" x14ac:dyDescent="0.3">
      <c r="A294" t="s">
        <v>957</v>
      </c>
      <c r="B294" t="s">
        <v>956</v>
      </c>
      <c r="C294" t="s">
        <v>1912</v>
      </c>
      <c r="D294" t="s">
        <v>1913</v>
      </c>
      <c r="E294" s="2">
        <v>46265.331250000003</v>
      </c>
    </row>
    <row r="295" spans="1:5" x14ac:dyDescent="0.3">
      <c r="A295" t="s">
        <v>960</v>
      </c>
      <c r="B295" t="s">
        <v>959</v>
      </c>
      <c r="C295" t="s">
        <v>1912</v>
      </c>
      <c r="D295" t="s">
        <v>1913</v>
      </c>
      <c r="E295" s="2">
        <v>46262.837500000001</v>
      </c>
    </row>
    <row r="296" spans="1:5" x14ac:dyDescent="0.3">
      <c r="A296" t="s">
        <v>963</v>
      </c>
      <c r="B296" t="s">
        <v>962</v>
      </c>
      <c r="C296" t="s">
        <v>1915</v>
      </c>
      <c r="D296" t="s">
        <v>1913</v>
      </c>
      <c r="E296" s="2">
        <v>46244.374305555553</v>
      </c>
    </row>
    <row r="297" spans="1:5" x14ac:dyDescent="0.3">
      <c r="A297" t="s">
        <v>966</v>
      </c>
      <c r="B297" t="s">
        <v>965</v>
      </c>
      <c r="C297" t="s">
        <v>1912</v>
      </c>
      <c r="D297" t="s">
        <v>1913</v>
      </c>
      <c r="E297" s="2">
        <v>46235.631944444445</v>
      </c>
    </row>
    <row r="298" spans="1:5" x14ac:dyDescent="0.3">
      <c r="A298" t="s">
        <v>968</v>
      </c>
      <c r="B298" t="s">
        <v>967</v>
      </c>
      <c r="C298" t="s">
        <v>1914</v>
      </c>
      <c r="D298" t="s">
        <v>1913</v>
      </c>
      <c r="E298" s="2">
        <v>46284.364583333336</v>
      </c>
    </row>
    <row r="299" spans="1:5" x14ac:dyDescent="0.3">
      <c r="A299" t="s">
        <v>971</v>
      </c>
      <c r="B299" t="s">
        <v>970</v>
      </c>
      <c r="C299" t="s">
        <v>1915</v>
      </c>
      <c r="D299" t="s">
        <v>1913</v>
      </c>
      <c r="E299" s="2">
        <v>46279.567361111112</v>
      </c>
    </row>
    <row r="300" spans="1:5" x14ac:dyDescent="0.3">
      <c r="A300" t="s">
        <v>974</v>
      </c>
      <c r="B300" t="s">
        <v>973</v>
      </c>
      <c r="C300" t="s">
        <v>1914</v>
      </c>
      <c r="D300" t="s">
        <v>1913</v>
      </c>
      <c r="E300" s="2">
        <v>46227.532638888886</v>
      </c>
    </row>
    <row r="301" spans="1:5" x14ac:dyDescent="0.3">
      <c r="A301" t="s">
        <v>980</v>
      </c>
      <c r="B301" t="s">
        <v>979</v>
      </c>
      <c r="C301" t="s">
        <v>1915</v>
      </c>
      <c r="D301" t="s">
        <v>1913</v>
      </c>
      <c r="E301" s="2">
        <v>46282.706944444442</v>
      </c>
    </row>
    <row r="302" spans="1:5" x14ac:dyDescent="0.3">
      <c r="A302" t="s">
        <v>983</v>
      </c>
      <c r="B302" t="s">
        <v>982</v>
      </c>
      <c r="C302" t="s">
        <v>1912</v>
      </c>
      <c r="D302" t="s">
        <v>1913</v>
      </c>
      <c r="E302" s="2">
        <v>46292.436111111114</v>
      </c>
    </row>
    <row r="303" spans="1:5" x14ac:dyDescent="0.3">
      <c r="A303" t="s">
        <v>985</v>
      </c>
      <c r="B303" t="s">
        <v>984</v>
      </c>
      <c r="C303" t="s">
        <v>1914</v>
      </c>
      <c r="D303" t="s">
        <v>1913</v>
      </c>
      <c r="E303" s="2">
        <v>46285.69027777778</v>
      </c>
    </row>
    <row r="304" spans="1:5" x14ac:dyDescent="0.3">
      <c r="A304" t="s">
        <v>988</v>
      </c>
      <c r="B304" t="s">
        <v>987</v>
      </c>
      <c r="C304" t="s">
        <v>1915</v>
      </c>
      <c r="D304" t="s">
        <v>1913</v>
      </c>
      <c r="E304" s="2">
        <v>46221.37777777778</v>
      </c>
    </row>
    <row r="305" spans="1:5" x14ac:dyDescent="0.3">
      <c r="A305" t="s">
        <v>991</v>
      </c>
      <c r="B305" t="s">
        <v>990</v>
      </c>
      <c r="C305" t="s">
        <v>1912</v>
      </c>
      <c r="D305" t="s">
        <v>1913</v>
      </c>
      <c r="E305" s="2">
        <v>46253.67083333333</v>
      </c>
    </row>
    <row r="306" spans="1:5" x14ac:dyDescent="0.3">
      <c r="A306" t="s">
        <v>999</v>
      </c>
      <c r="B306" t="s">
        <v>998</v>
      </c>
      <c r="C306" t="s">
        <v>1915</v>
      </c>
      <c r="D306" t="s">
        <v>1913</v>
      </c>
      <c r="E306" s="2">
        <v>46238.827777777777</v>
      </c>
    </row>
    <row r="307" spans="1:5" x14ac:dyDescent="0.3">
      <c r="A307" t="s">
        <v>1002</v>
      </c>
      <c r="B307" t="s">
        <v>1001</v>
      </c>
      <c r="C307" t="s">
        <v>1915</v>
      </c>
      <c r="D307" t="s">
        <v>1913</v>
      </c>
      <c r="E307" s="2">
        <v>46217.791666666664</v>
      </c>
    </row>
    <row r="308" spans="1:5" x14ac:dyDescent="0.3">
      <c r="A308" t="s">
        <v>1005</v>
      </c>
      <c r="B308" t="s">
        <v>1004</v>
      </c>
      <c r="C308" t="s">
        <v>1915</v>
      </c>
      <c r="D308" t="s">
        <v>1913</v>
      </c>
      <c r="E308" s="2">
        <v>46260.859722222223</v>
      </c>
    </row>
    <row r="309" spans="1:5" x14ac:dyDescent="0.3">
      <c r="A309" t="s">
        <v>1008</v>
      </c>
      <c r="B309" t="s">
        <v>1007</v>
      </c>
      <c r="C309" t="s">
        <v>1915</v>
      </c>
      <c r="D309" t="s">
        <v>1913</v>
      </c>
      <c r="E309" s="2">
        <v>46225.670138888891</v>
      </c>
    </row>
    <row r="310" spans="1:5" x14ac:dyDescent="0.3">
      <c r="A310" t="s">
        <v>1011</v>
      </c>
      <c r="B310" t="s">
        <v>1010</v>
      </c>
      <c r="C310" t="s">
        <v>1915</v>
      </c>
      <c r="D310" t="s">
        <v>1913</v>
      </c>
      <c r="E310" s="2">
        <v>46280.660416666666</v>
      </c>
    </row>
    <row r="311" spans="1:5" x14ac:dyDescent="0.3">
      <c r="A311" t="s">
        <v>1014</v>
      </c>
      <c r="B311" t="s">
        <v>1013</v>
      </c>
      <c r="C311" t="s">
        <v>1915</v>
      </c>
      <c r="D311" t="s">
        <v>1913</v>
      </c>
      <c r="E311" s="2">
        <v>46290.838194444441</v>
      </c>
    </row>
    <row r="312" spans="1:5" x14ac:dyDescent="0.3">
      <c r="A312" t="s">
        <v>1017</v>
      </c>
      <c r="B312" t="s">
        <v>1016</v>
      </c>
      <c r="C312" t="s">
        <v>1915</v>
      </c>
      <c r="D312" t="s">
        <v>1913</v>
      </c>
      <c r="E312" s="2">
        <v>46293.868055555555</v>
      </c>
    </row>
    <row r="313" spans="1:5" x14ac:dyDescent="0.3">
      <c r="A313" t="s">
        <v>1020</v>
      </c>
      <c r="B313" t="s">
        <v>1019</v>
      </c>
      <c r="C313" t="s">
        <v>1914</v>
      </c>
      <c r="D313" t="s">
        <v>1913</v>
      </c>
      <c r="E313" s="2">
        <v>46284.543749999997</v>
      </c>
    </row>
    <row r="314" spans="1:5" x14ac:dyDescent="0.3">
      <c r="A314" t="s">
        <v>1025</v>
      </c>
      <c r="B314" t="s">
        <v>1024</v>
      </c>
      <c r="C314" t="s">
        <v>1914</v>
      </c>
      <c r="D314" t="s">
        <v>36</v>
      </c>
      <c r="E314" s="2">
        <v>46262.761111111111</v>
      </c>
    </row>
    <row r="315" spans="1:5" x14ac:dyDescent="0.3">
      <c r="A315" t="s">
        <v>1028</v>
      </c>
      <c r="B315" t="s">
        <v>1027</v>
      </c>
      <c r="C315" t="s">
        <v>1914</v>
      </c>
      <c r="D315" t="s">
        <v>1913</v>
      </c>
      <c r="E315" s="2">
        <v>46231.574999999997</v>
      </c>
    </row>
    <row r="316" spans="1:5" x14ac:dyDescent="0.3">
      <c r="A316" t="s">
        <v>1033</v>
      </c>
      <c r="B316" t="s">
        <v>1032</v>
      </c>
      <c r="C316" t="s">
        <v>1912</v>
      </c>
      <c r="D316" t="s">
        <v>1913</v>
      </c>
      <c r="E316" s="2">
        <v>46260.612500000003</v>
      </c>
    </row>
    <row r="317" spans="1:5" x14ac:dyDescent="0.3">
      <c r="A317" t="s">
        <v>1036</v>
      </c>
      <c r="B317" t="s">
        <v>1035</v>
      </c>
      <c r="C317" t="s">
        <v>1915</v>
      </c>
      <c r="D317" t="s">
        <v>1913</v>
      </c>
      <c r="E317" s="2">
        <v>46224.875</v>
      </c>
    </row>
    <row r="318" spans="1:5" x14ac:dyDescent="0.3">
      <c r="A318" t="s">
        <v>1039</v>
      </c>
      <c r="B318" t="s">
        <v>1038</v>
      </c>
      <c r="C318" t="s">
        <v>1914</v>
      </c>
      <c r="D318" t="s">
        <v>1913</v>
      </c>
      <c r="E318" s="2">
        <v>46210.580555555556</v>
      </c>
    </row>
    <row r="319" spans="1:5" x14ac:dyDescent="0.3">
      <c r="A319" t="s">
        <v>1044</v>
      </c>
      <c r="B319" t="s">
        <v>1043</v>
      </c>
      <c r="C319" t="s">
        <v>1915</v>
      </c>
      <c r="D319" t="s">
        <v>1913</v>
      </c>
      <c r="E319" s="2">
        <v>46219.839583333334</v>
      </c>
    </row>
    <row r="320" spans="1:5" x14ac:dyDescent="0.3">
      <c r="A320" t="s">
        <v>1049</v>
      </c>
      <c r="B320" t="s">
        <v>1048</v>
      </c>
      <c r="C320" t="s">
        <v>1915</v>
      </c>
      <c r="D320" t="s">
        <v>1913</v>
      </c>
      <c r="E320" s="2">
        <v>46282.7</v>
      </c>
    </row>
    <row r="321" spans="1:5" x14ac:dyDescent="0.3">
      <c r="A321" t="s">
        <v>1052</v>
      </c>
      <c r="B321" t="s">
        <v>1051</v>
      </c>
      <c r="C321" t="s">
        <v>1912</v>
      </c>
      <c r="D321" t="s">
        <v>1913</v>
      </c>
      <c r="E321" s="2">
        <v>46231.363194444442</v>
      </c>
    </row>
    <row r="322" spans="1:5" x14ac:dyDescent="0.3">
      <c r="A322" t="s">
        <v>1055</v>
      </c>
      <c r="B322" t="s">
        <v>1054</v>
      </c>
      <c r="C322" t="s">
        <v>1912</v>
      </c>
      <c r="D322" t="s">
        <v>1913</v>
      </c>
      <c r="E322" s="2">
        <v>46244.830555555556</v>
      </c>
    </row>
    <row r="323" spans="1:5" x14ac:dyDescent="0.3">
      <c r="A323" t="s">
        <v>1058</v>
      </c>
      <c r="B323" t="s">
        <v>1057</v>
      </c>
      <c r="C323" t="s">
        <v>1914</v>
      </c>
      <c r="D323" t="s">
        <v>1913</v>
      </c>
      <c r="E323" s="2">
        <v>46292.32708333333</v>
      </c>
    </row>
    <row r="324" spans="1:5" x14ac:dyDescent="0.3">
      <c r="A324" t="s">
        <v>1061</v>
      </c>
      <c r="B324" t="s">
        <v>1060</v>
      </c>
      <c r="C324" t="s">
        <v>1915</v>
      </c>
      <c r="D324" t="s">
        <v>1913</v>
      </c>
      <c r="E324" s="2">
        <v>46254.486805555556</v>
      </c>
    </row>
    <row r="325" spans="1:5" x14ac:dyDescent="0.3">
      <c r="A325" t="s">
        <v>1064</v>
      </c>
      <c r="B325" t="s">
        <v>1063</v>
      </c>
      <c r="C325" t="s">
        <v>1914</v>
      </c>
      <c r="D325" t="s">
        <v>1913</v>
      </c>
      <c r="E325" s="2">
        <v>46267.738194444442</v>
      </c>
    </row>
    <row r="326" spans="1:5" x14ac:dyDescent="0.3">
      <c r="A326" t="s">
        <v>1067</v>
      </c>
      <c r="B326" t="s">
        <v>1066</v>
      </c>
      <c r="C326" t="s">
        <v>1912</v>
      </c>
      <c r="D326" t="s">
        <v>1913</v>
      </c>
      <c r="E326" s="2">
        <v>46253.88958333333</v>
      </c>
    </row>
    <row r="327" spans="1:5" x14ac:dyDescent="0.3">
      <c r="A327" t="s">
        <v>1070</v>
      </c>
      <c r="B327" t="s">
        <v>1069</v>
      </c>
      <c r="C327" t="s">
        <v>1914</v>
      </c>
      <c r="D327" t="s">
        <v>1913</v>
      </c>
      <c r="E327" s="2">
        <v>46206.690972222219</v>
      </c>
    </row>
    <row r="328" spans="1:5" x14ac:dyDescent="0.3">
      <c r="A328" t="s">
        <v>1073</v>
      </c>
      <c r="B328" t="s">
        <v>1072</v>
      </c>
      <c r="C328" t="s">
        <v>1912</v>
      </c>
      <c r="D328" t="s">
        <v>1916</v>
      </c>
      <c r="E328" s="2">
        <v>46257.5625</v>
      </c>
    </row>
    <row r="329" spans="1:5" x14ac:dyDescent="0.3">
      <c r="A329" t="s">
        <v>1076</v>
      </c>
      <c r="B329" t="s">
        <v>1075</v>
      </c>
      <c r="C329" t="s">
        <v>1915</v>
      </c>
      <c r="D329" t="s">
        <v>1913</v>
      </c>
      <c r="E329" s="2">
        <v>46243.393055555556</v>
      </c>
    </row>
    <row r="330" spans="1:5" x14ac:dyDescent="0.3">
      <c r="A330" t="s">
        <v>1079</v>
      </c>
      <c r="B330" t="s">
        <v>1078</v>
      </c>
      <c r="C330" t="s">
        <v>1915</v>
      </c>
      <c r="D330" t="s">
        <v>36</v>
      </c>
      <c r="E330" s="2">
        <v>46243.765277777777</v>
      </c>
    </row>
    <row r="331" spans="1:5" x14ac:dyDescent="0.3">
      <c r="A331" t="s">
        <v>1082</v>
      </c>
      <c r="B331" t="s">
        <v>1081</v>
      </c>
      <c r="C331" t="s">
        <v>1915</v>
      </c>
      <c r="D331" t="s">
        <v>1913</v>
      </c>
      <c r="E331" s="2">
        <v>46218.616666666669</v>
      </c>
    </row>
    <row r="332" spans="1:5" x14ac:dyDescent="0.3">
      <c r="A332" t="s">
        <v>1085</v>
      </c>
      <c r="B332" t="s">
        <v>1084</v>
      </c>
      <c r="C332" t="s">
        <v>1914</v>
      </c>
      <c r="D332" t="s">
        <v>1913</v>
      </c>
      <c r="E332" s="2">
        <v>46293.277777777781</v>
      </c>
    </row>
    <row r="333" spans="1:5" x14ac:dyDescent="0.3">
      <c r="A333" t="s">
        <v>1088</v>
      </c>
      <c r="B333" t="s">
        <v>1087</v>
      </c>
      <c r="C333" t="s">
        <v>1915</v>
      </c>
      <c r="D333" t="s">
        <v>1913</v>
      </c>
      <c r="E333" s="2">
        <v>46238.809027777781</v>
      </c>
    </row>
    <row r="334" spans="1:5" x14ac:dyDescent="0.3">
      <c r="A334" t="s">
        <v>1093</v>
      </c>
      <c r="B334" t="s">
        <v>1092</v>
      </c>
      <c r="C334" t="s">
        <v>1915</v>
      </c>
      <c r="D334" t="s">
        <v>1913</v>
      </c>
      <c r="E334" s="2">
        <v>46251.426388888889</v>
      </c>
    </row>
    <row r="335" spans="1:5" x14ac:dyDescent="0.3">
      <c r="A335" t="s">
        <v>1096</v>
      </c>
      <c r="B335" t="s">
        <v>1095</v>
      </c>
      <c r="C335" t="s">
        <v>1912</v>
      </c>
      <c r="D335" t="s">
        <v>1913</v>
      </c>
      <c r="E335" s="2">
        <v>46204.351388888892</v>
      </c>
    </row>
    <row r="336" spans="1:5" x14ac:dyDescent="0.3">
      <c r="A336" t="s">
        <v>1099</v>
      </c>
      <c r="B336" t="s">
        <v>1098</v>
      </c>
      <c r="C336" t="s">
        <v>1915</v>
      </c>
      <c r="D336" t="s">
        <v>1913</v>
      </c>
      <c r="E336" s="2">
        <v>46226.932638888888</v>
      </c>
    </row>
    <row r="337" spans="1:5" x14ac:dyDescent="0.3">
      <c r="A337" t="s">
        <v>1102</v>
      </c>
      <c r="B337" t="s">
        <v>1101</v>
      </c>
      <c r="C337" t="s">
        <v>1912</v>
      </c>
      <c r="D337" t="s">
        <v>36</v>
      </c>
      <c r="E337" s="2">
        <v>46257.946527777778</v>
      </c>
    </row>
    <row r="338" spans="1:5" x14ac:dyDescent="0.3">
      <c r="A338" t="s">
        <v>1105</v>
      </c>
      <c r="B338" t="s">
        <v>1104</v>
      </c>
      <c r="C338" t="s">
        <v>1914</v>
      </c>
      <c r="D338" t="s">
        <v>1913</v>
      </c>
      <c r="E338" s="2">
        <v>46226.479166666664</v>
      </c>
    </row>
    <row r="339" spans="1:5" x14ac:dyDescent="0.3">
      <c r="A339" t="s">
        <v>1108</v>
      </c>
      <c r="B339" t="s">
        <v>1107</v>
      </c>
      <c r="C339" t="s">
        <v>1912</v>
      </c>
      <c r="D339" t="s">
        <v>1913</v>
      </c>
      <c r="E339" s="2">
        <v>46243.493750000001</v>
      </c>
    </row>
    <row r="340" spans="1:5" x14ac:dyDescent="0.3">
      <c r="A340" t="s">
        <v>1111</v>
      </c>
      <c r="B340" t="s">
        <v>1110</v>
      </c>
      <c r="C340" t="s">
        <v>1912</v>
      </c>
      <c r="D340" t="s">
        <v>1913</v>
      </c>
      <c r="E340" s="2">
        <v>46283.4375</v>
      </c>
    </row>
    <row r="341" spans="1:5" x14ac:dyDescent="0.3">
      <c r="A341" t="s">
        <v>1114</v>
      </c>
      <c r="B341" t="s">
        <v>1113</v>
      </c>
      <c r="C341" t="s">
        <v>1914</v>
      </c>
      <c r="D341" t="s">
        <v>1913</v>
      </c>
      <c r="E341" s="2">
        <v>46223.338194444441</v>
      </c>
    </row>
    <row r="342" spans="1:5" x14ac:dyDescent="0.3">
      <c r="A342" t="s">
        <v>1117</v>
      </c>
      <c r="B342" t="s">
        <v>1116</v>
      </c>
      <c r="C342" t="s">
        <v>1915</v>
      </c>
      <c r="D342" t="s">
        <v>1913</v>
      </c>
      <c r="E342" s="2">
        <v>46288.587500000001</v>
      </c>
    </row>
    <row r="343" spans="1:5" x14ac:dyDescent="0.3">
      <c r="A343" t="s">
        <v>1120</v>
      </c>
      <c r="B343" t="s">
        <v>1119</v>
      </c>
      <c r="C343" t="s">
        <v>1912</v>
      </c>
      <c r="D343" t="s">
        <v>1913</v>
      </c>
      <c r="E343" s="2">
        <v>46266.282638888886</v>
      </c>
    </row>
    <row r="344" spans="1:5" x14ac:dyDescent="0.3">
      <c r="A344" t="s">
        <v>1125</v>
      </c>
      <c r="B344" t="s">
        <v>1124</v>
      </c>
      <c r="C344" t="s">
        <v>1915</v>
      </c>
      <c r="D344" t="s">
        <v>1913</v>
      </c>
      <c r="E344" s="2">
        <v>46259.748611111114</v>
      </c>
    </row>
    <row r="345" spans="1:5" x14ac:dyDescent="0.3">
      <c r="A345" t="s">
        <v>1128</v>
      </c>
      <c r="B345" t="s">
        <v>1127</v>
      </c>
      <c r="C345" t="s">
        <v>1914</v>
      </c>
      <c r="D345" t="s">
        <v>1913</v>
      </c>
      <c r="E345" s="2">
        <v>46244.606944444444</v>
      </c>
    </row>
    <row r="346" spans="1:5" x14ac:dyDescent="0.3">
      <c r="A346" t="s">
        <v>1131</v>
      </c>
      <c r="B346" t="s">
        <v>1130</v>
      </c>
      <c r="C346" t="s">
        <v>1912</v>
      </c>
      <c r="D346" t="s">
        <v>1913</v>
      </c>
      <c r="E346" s="2">
        <v>46225.606944444444</v>
      </c>
    </row>
    <row r="347" spans="1:5" x14ac:dyDescent="0.3">
      <c r="A347" t="s">
        <v>1136</v>
      </c>
      <c r="B347" t="s">
        <v>1135</v>
      </c>
      <c r="C347" t="s">
        <v>1914</v>
      </c>
      <c r="D347" t="s">
        <v>1913</v>
      </c>
      <c r="E347" s="2">
        <v>46222.351388888892</v>
      </c>
    </row>
    <row r="348" spans="1:5" x14ac:dyDescent="0.3">
      <c r="A348" t="s">
        <v>1139</v>
      </c>
      <c r="B348" t="s">
        <v>1138</v>
      </c>
      <c r="C348" t="s">
        <v>1912</v>
      </c>
      <c r="D348" t="s">
        <v>1913</v>
      </c>
      <c r="E348" s="2">
        <v>46226.331944444442</v>
      </c>
    </row>
    <row r="349" spans="1:5" x14ac:dyDescent="0.3">
      <c r="A349" t="s">
        <v>1142</v>
      </c>
      <c r="B349" t="s">
        <v>1141</v>
      </c>
      <c r="C349" t="s">
        <v>1912</v>
      </c>
      <c r="D349" t="s">
        <v>1913</v>
      </c>
      <c r="E349" s="2">
        <v>46221.345138888886</v>
      </c>
    </row>
    <row r="350" spans="1:5" x14ac:dyDescent="0.3">
      <c r="A350" t="s">
        <v>1145</v>
      </c>
      <c r="B350" t="s">
        <v>1144</v>
      </c>
      <c r="C350" t="s">
        <v>1912</v>
      </c>
      <c r="D350" t="s">
        <v>1916</v>
      </c>
      <c r="E350" s="2">
        <v>46251.731944444444</v>
      </c>
    </row>
    <row r="351" spans="1:5" x14ac:dyDescent="0.3">
      <c r="A351" t="s">
        <v>1148</v>
      </c>
      <c r="B351" t="s">
        <v>1147</v>
      </c>
      <c r="C351" t="s">
        <v>1912</v>
      </c>
      <c r="D351" t="s">
        <v>1913</v>
      </c>
      <c r="E351" s="2">
        <v>46206.378472222219</v>
      </c>
    </row>
    <row r="352" spans="1:5" x14ac:dyDescent="0.3">
      <c r="A352" t="s">
        <v>1150</v>
      </c>
      <c r="B352" t="s">
        <v>1149</v>
      </c>
      <c r="C352" t="s">
        <v>1915</v>
      </c>
      <c r="D352" t="s">
        <v>1913</v>
      </c>
      <c r="E352" s="2">
        <v>46219.311805555553</v>
      </c>
    </row>
    <row r="353" spans="1:5" x14ac:dyDescent="0.3">
      <c r="A353" t="s">
        <v>1153</v>
      </c>
      <c r="B353" t="s">
        <v>1152</v>
      </c>
      <c r="C353" t="s">
        <v>1912</v>
      </c>
      <c r="D353" t="s">
        <v>1913</v>
      </c>
      <c r="E353" s="2">
        <v>46291.558333333334</v>
      </c>
    </row>
    <row r="354" spans="1:5" x14ac:dyDescent="0.3">
      <c r="A354" t="s">
        <v>1156</v>
      </c>
      <c r="B354" t="s">
        <v>1155</v>
      </c>
      <c r="C354" t="s">
        <v>1915</v>
      </c>
      <c r="D354" t="s">
        <v>1913</v>
      </c>
      <c r="E354" s="2">
        <v>46208.729166666664</v>
      </c>
    </row>
    <row r="355" spans="1:5" x14ac:dyDescent="0.3">
      <c r="A355" t="s">
        <v>1159</v>
      </c>
      <c r="B355" t="s">
        <v>1158</v>
      </c>
      <c r="C355" t="s">
        <v>1912</v>
      </c>
      <c r="D355" t="s">
        <v>1913</v>
      </c>
      <c r="E355" s="2">
        <v>46211.368055555555</v>
      </c>
    </row>
    <row r="356" spans="1:5" x14ac:dyDescent="0.3">
      <c r="A356" t="s">
        <v>1165</v>
      </c>
      <c r="B356" t="s">
        <v>1164</v>
      </c>
      <c r="C356" t="s">
        <v>1912</v>
      </c>
      <c r="D356" t="s">
        <v>1913</v>
      </c>
      <c r="E356" s="2">
        <v>46245.552083333336</v>
      </c>
    </row>
    <row r="357" spans="1:5" x14ac:dyDescent="0.3">
      <c r="A357" t="s">
        <v>1168</v>
      </c>
      <c r="B357" t="s">
        <v>1167</v>
      </c>
      <c r="C357" t="s">
        <v>1912</v>
      </c>
      <c r="D357" t="s">
        <v>1916</v>
      </c>
      <c r="E357" s="2">
        <v>46211.802083333336</v>
      </c>
    </row>
    <row r="358" spans="1:5" x14ac:dyDescent="0.3">
      <c r="A358" t="s">
        <v>1171</v>
      </c>
      <c r="B358" t="s">
        <v>1170</v>
      </c>
      <c r="C358" t="s">
        <v>1912</v>
      </c>
      <c r="D358" t="s">
        <v>1913</v>
      </c>
      <c r="E358" s="2">
        <v>46238.682638888888</v>
      </c>
    </row>
    <row r="359" spans="1:5" x14ac:dyDescent="0.3">
      <c r="A359" t="s">
        <v>1174</v>
      </c>
      <c r="B359" t="s">
        <v>1173</v>
      </c>
      <c r="C359" t="s">
        <v>1914</v>
      </c>
      <c r="D359" t="s">
        <v>1913</v>
      </c>
      <c r="E359" s="2">
        <v>46249.929166666669</v>
      </c>
    </row>
    <row r="360" spans="1:5" x14ac:dyDescent="0.3">
      <c r="A360" t="s">
        <v>1177</v>
      </c>
      <c r="B360" t="s">
        <v>1176</v>
      </c>
      <c r="C360" t="s">
        <v>1912</v>
      </c>
      <c r="D360" t="s">
        <v>1913</v>
      </c>
      <c r="E360" s="2">
        <v>46279.339583333334</v>
      </c>
    </row>
    <row r="361" spans="1:5" x14ac:dyDescent="0.3">
      <c r="A361" t="s">
        <v>1179</v>
      </c>
      <c r="B361" t="s">
        <v>1178</v>
      </c>
      <c r="C361" t="s">
        <v>1915</v>
      </c>
      <c r="D361" t="s">
        <v>1913</v>
      </c>
      <c r="E361" s="2">
        <v>46267.648611111108</v>
      </c>
    </row>
    <row r="362" spans="1:5" x14ac:dyDescent="0.3">
      <c r="A362" t="s">
        <v>1182</v>
      </c>
      <c r="B362" t="s">
        <v>1181</v>
      </c>
      <c r="C362" t="s">
        <v>1914</v>
      </c>
      <c r="D362" t="s">
        <v>1913</v>
      </c>
      <c r="E362" s="2">
        <v>46271.577777777777</v>
      </c>
    </row>
    <row r="363" spans="1:5" x14ac:dyDescent="0.3">
      <c r="A363" t="s">
        <v>1185</v>
      </c>
      <c r="B363" t="s">
        <v>1184</v>
      </c>
      <c r="C363" t="s">
        <v>1915</v>
      </c>
      <c r="D363" t="s">
        <v>1913</v>
      </c>
      <c r="E363" s="2">
        <v>46211.291666666664</v>
      </c>
    </row>
    <row r="364" spans="1:5" x14ac:dyDescent="0.3">
      <c r="A364" t="s">
        <v>1187</v>
      </c>
      <c r="B364" t="s">
        <v>1186</v>
      </c>
      <c r="C364" t="s">
        <v>1912</v>
      </c>
      <c r="D364" t="s">
        <v>1913</v>
      </c>
      <c r="E364" s="2">
        <v>46251.794444444444</v>
      </c>
    </row>
    <row r="365" spans="1:5" x14ac:dyDescent="0.3">
      <c r="A365" t="s">
        <v>1190</v>
      </c>
      <c r="B365" t="s">
        <v>1189</v>
      </c>
      <c r="C365" t="s">
        <v>1914</v>
      </c>
      <c r="D365" t="s">
        <v>1913</v>
      </c>
      <c r="E365" s="2">
        <v>46259.800694444442</v>
      </c>
    </row>
    <row r="366" spans="1:5" x14ac:dyDescent="0.3">
      <c r="A366" t="s">
        <v>1193</v>
      </c>
      <c r="B366" t="s">
        <v>1192</v>
      </c>
      <c r="C366" t="s">
        <v>1912</v>
      </c>
      <c r="D366" t="s">
        <v>1913</v>
      </c>
      <c r="E366" s="2">
        <v>46232.769444444442</v>
      </c>
    </row>
    <row r="367" spans="1:5" x14ac:dyDescent="0.3">
      <c r="A367" t="s">
        <v>1196</v>
      </c>
      <c r="B367" t="s">
        <v>1195</v>
      </c>
      <c r="C367" t="s">
        <v>1915</v>
      </c>
      <c r="D367" t="s">
        <v>1913</v>
      </c>
      <c r="E367" s="2">
        <v>46293.68472222222</v>
      </c>
    </row>
    <row r="368" spans="1:5" x14ac:dyDescent="0.3">
      <c r="A368" t="s">
        <v>1199</v>
      </c>
      <c r="B368" t="s">
        <v>1198</v>
      </c>
      <c r="C368" t="s">
        <v>1915</v>
      </c>
      <c r="D368" t="s">
        <v>1913</v>
      </c>
      <c r="E368" s="2">
        <v>46282.470138888886</v>
      </c>
    </row>
    <row r="369" spans="1:5" x14ac:dyDescent="0.3">
      <c r="A369" t="s">
        <v>1202</v>
      </c>
      <c r="B369" t="s">
        <v>1201</v>
      </c>
      <c r="C369" t="s">
        <v>1914</v>
      </c>
      <c r="D369" t="s">
        <v>1916</v>
      </c>
      <c r="E369" s="2">
        <v>46248.541666666664</v>
      </c>
    </row>
    <row r="370" spans="1:5" x14ac:dyDescent="0.3">
      <c r="A370" t="s">
        <v>1206</v>
      </c>
      <c r="B370" t="s">
        <v>1205</v>
      </c>
      <c r="C370" t="s">
        <v>1915</v>
      </c>
      <c r="D370" t="s">
        <v>1913</v>
      </c>
      <c r="E370" s="2">
        <v>46257.445138888892</v>
      </c>
    </row>
    <row r="371" spans="1:5" x14ac:dyDescent="0.3">
      <c r="A371" t="s">
        <v>1209</v>
      </c>
      <c r="B371" t="s">
        <v>1208</v>
      </c>
      <c r="C371" t="s">
        <v>1912</v>
      </c>
      <c r="D371" t="s">
        <v>1913</v>
      </c>
      <c r="E371" s="2">
        <v>46277.769444444442</v>
      </c>
    </row>
    <row r="372" spans="1:5" x14ac:dyDescent="0.3">
      <c r="A372" t="s">
        <v>1212</v>
      </c>
      <c r="B372" t="s">
        <v>1211</v>
      </c>
      <c r="C372" t="s">
        <v>1915</v>
      </c>
      <c r="D372" t="s">
        <v>1913</v>
      </c>
      <c r="E372" s="2">
        <v>46237.321527777778</v>
      </c>
    </row>
    <row r="373" spans="1:5" x14ac:dyDescent="0.3">
      <c r="A373" t="s">
        <v>1215</v>
      </c>
      <c r="B373" t="s">
        <v>1214</v>
      </c>
      <c r="C373" t="s">
        <v>1915</v>
      </c>
      <c r="D373" t="s">
        <v>1913</v>
      </c>
      <c r="E373" s="2">
        <v>46247.674305555556</v>
      </c>
    </row>
    <row r="374" spans="1:5" x14ac:dyDescent="0.3">
      <c r="A374" t="s">
        <v>1218</v>
      </c>
      <c r="B374" t="s">
        <v>1217</v>
      </c>
      <c r="C374" t="s">
        <v>1912</v>
      </c>
      <c r="D374" t="s">
        <v>1916</v>
      </c>
      <c r="E374" s="2">
        <v>46224.295138888891</v>
      </c>
    </row>
    <row r="375" spans="1:5" x14ac:dyDescent="0.3">
      <c r="A375" t="s">
        <v>1221</v>
      </c>
      <c r="B375" t="s">
        <v>1220</v>
      </c>
      <c r="C375" t="s">
        <v>1914</v>
      </c>
      <c r="D375" t="s">
        <v>1913</v>
      </c>
      <c r="E375" s="2">
        <v>46237.704861111109</v>
      </c>
    </row>
    <row r="376" spans="1:5" x14ac:dyDescent="0.3">
      <c r="A376" t="s">
        <v>1224</v>
      </c>
      <c r="B376" t="s">
        <v>1223</v>
      </c>
      <c r="C376" t="s">
        <v>1915</v>
      </c>
      <c r="D376" t="s">
        <v>1913</v>
      </c>
      <c r="E376" s="2">
        <v>46223.343055555553</v>
      </c>
    </row>
    <row r="377" spans="1:5" x14ac:dyDescent="0.3">
      <c r="A377" t="s">
        <v>1227</v>
      </c>
      <c r="B377" t="s">
        <v>1226</v>
      </c>
      <c r="C377" t="s">
        <v>1915</v>
      </c>
      <c r="D377" t="s">
        <v>1913</v>
      </c>
      <c r="E377" s="2">
        <v>46207.444444444445</v>
      </c>
    </row>
    <row r="378" spans="1:5" x14ac:dyDescent="0.3">
      <c r="A378" t="s">
        <v>1230</v>
      </c>
      <c r="B378" t="s">
        <v>1229</v>
      </c>
      <c r="C378" t="s">
        <v>1912</v>
      </c>
      <c r="D378" t="s">
        <v>1913</v>
      </c>
      <c r="E378" s="2">
        <v>46264.62777777778</v>
      </c>
    </row>
    <row r="379" spans="1:5" x14ac:dyDescent="0.3">
      <c r="A379" t="s">
        <v>1233</v>
      </c>
      <c r="B379" t="s">
        <v>1232</v>
      </c>
      <c r="C379" t="s">
        <v>1912</v>
      </c>
      <c r="D379" t="s">
        <v>1913</v>
      </c>
      <c r="E379" s="2">
        <v>46251.378472222219</v>
      </c>
    </row>
    <row r="380" spans="1:5" x14ac:dyDescent="0.3">
      <c r="A380" t="s">
        <v>1236</v>
      </c>
      <c r="B380" t="s">
        <v>1235</v>
      </c>
      <c r="C380" t="s">
        <v>1914</v>
      </c>
      <c r="D380" t="s">
        <v>1913</v>
      </c>
      <c r="E380" s="2">
        <v>46223.804166666669</v>
      </c>
    </row>
    <row r="381" spans="1:5" x14ac:dyDescent="0.3">
      <c r="A381" t="s">
        <v>1239</v>
      </c>
      <c r="B381" t="s">
        <v>1238</v>
      </c>
      <c r="C381" t="s">
        <v>1912</v>
      </c>
      <c r="D381" t="s">
        <v>1913</v>
      </c>
      <c r="E381" s="2">
        <v>46274.320833333331</v>
      </c>
    </row>
    <row r="382" spans="1:5" x14ac:dyDescent="0.3">
      <c r="A382" t="s">
        <v>1242</v>
      </c>
      <c r="B382" t="s">
        <v>1241</v>
      </c>
      <c r="C382" t="s">
        <v>1914</v>
      </c>
      <c r="D382" t="s">
        <v>1913</v>
      </c>
      <c r="E382" s="2">
        <v>46264.452777777777</v>
      </c>
    </row>
    <row r="383" spans="1:5" x14ac:dyDescent="0.3">
      <c r="A383" t="s">
        <v>1245</v>
      </c>
      <c r="B383" t="s">
        <v>1244</v>
      </c>
      <c r="C383" t="s">
        <v>1915</v>
      </c>
      <c r="D383" t="s">
        <v>1913</v>
      </c>
      <c r="E383" s="2">
        <v>46277.749305555553</v>
      </c>
    </row>
    <row r="384" spans="1:5" x14ac:dyDescent="0.3">
      <c r="A384" t="s">
        <v>1248</v>
      </c>
      <c r="B384" t="s">
        <v>1247</v>
      </c>
      <c r="C384" t="s">
        <v>1915</v>
      </c>
      <c r="D384" t="s">
        <v>1913</v>
      </c>
      <c r="E384" s="2">
        <v>46231.820833333331</v>
      </c>
    </row>
    <row r="385" spans="1:5" x14ac:dyDescent="0.3">
      <c r="A385" t="s">
        <v>1251</v>
      </c>
      <c r="B385" t="s">
        <v>1250</v>
      </c>
      <c r="C385" t="s">
        <v>1914</v>
      </c>
      <c r="D385" t="s">
        <v>1913</v>
      </c>
      <c r="E385" s="2">
        <v>46280.488194444442</v>
      </c>
    </row>
    <row r="386" spans="1:5" x14ac:dyDescent="0.3">
      <c r="A386" t="s">
        <v>1254</v>
      </c>
      <c r="B386" t="s">
        <v>1253</v>
      </c>
      <c r="C386" t="s">
        <v>1915</v>
      </c>
      <c r="D386" t="s">
        <v>1913</v>
      </c>
      <c r="E386" s="2">
        <v>46274.553472222222</v>
      </c>
    </row>
    <row r="387" spans="1:5" x14ac:dyDescent="0.3">
      <c r="A387" t="s">
        <v>1257</v>
      </c>
      <c r="B387" t="s">
        <v>1256</v>
      </c>
      <c r="C387" t="s">
        <v>1914</v>
      </c>
      <c r="D387" t="s">
        <v>1916</v>
      </c>
      <c r="E387" s="2">
        <v>46218.53402777778</v>
      </c>
    </row>
    <row r="388" spans="1:5" x14ac:dyDescent="0.3">
      <c r="A388" t="s">
        <v>1260</v>
      </c>
      <c r="B388" t="s">
        <v>1259</v>
      </c>
      <c r="C388" t="s">
        <v>1915</v>
      </c>
      <c r="D388" t="s">
        <v>1913</v>
      </c>
      <c r="E388" s="2">
        <v>46240.872916666667</v>
      </c>
    </row>
    <row r="389" spans="1:5" x14ac:dyDescent="0.3">
      <c r="A389" t="s">
        <v>1265</v>
      </c>
      <c r="B389" t="s">
        <v>1264</v>
      </c>
      <c r="C389" t="s">
        <v>1915</v>
      </c>
      <c r="D389" t="s">
        <v>36</v>
      </c>
      <c r="E389" s="2">
        <v>46292.398611111108</v>
      </c>
    </row>
    <row r="390" spans="1:5" x14ac:dyDescent="0.3">
      <c r="A390" t="s">
        <v>1268</v>
      </c>
      <c r="B390" t="s">
        <v>1267</v>
      </c>
      <c r="C390" t="s">
        <v>1912</v>
      </c>
      <c r="D390" t="s">
        <v>1913</v>
      </c>
      <c r="E390" s="2">
        <v>46243.522222222222</v>
      </c>
    </row>
    <row r="391" spans="1:5" x14ac:dyDescent="0.3">
      <c r="A391" t="s">
        <v>1271</v>
      </c>
      <c r="B391" t="s">
        <v>1270</v>
      </c>
      <c r="C391" t="s">
        <v>1915</v>
      </c>
      <c r="D391" t="s">
        <v>1913</v>
      </c>
      <c r="E391" s="2">
        <v>46245.503472222219</v>
      </c>
    </row>
    <row r="392" spans="1:5" x14ac:dyDescent="0.3">
      <c r="A392" t="s">
        <v>1276</v>
      </c>
      <c r="B392" t="s">
        <v>1275</v>
      </c>
      <c r="C392" t="s">
        <v>1912</v>
      </c>
      <c r="D392" t="s">
        <v>1913</v>
      </c>
      <c r="E392" s="2">
        <v>46255.427083333336</v>
      </c>
    </row>
    <row r="393" spans="1:5" x14ac:dyDescent="0.3">
      <c r="A393" t="s">
        <v>1279</v>
      </c>
      <c r="B393" t="s">
        <v>1278</v>
      </c>
      <c r="C393" t="s">
        <v>1914</v>
      </c>
      <c r="D393" t="s">
        <v>1913</v>
      </c>
      <c r="E393" s="2">
        <v>46211.409722222219</v>
      </c>
    </row>
    <row r="394" spans="1:5" x14ac:dyDescent="0.3">
      <c r="A394" t="s">
        <v>1282</v>
      </c>
      <c r="B394" t="s">
        <v>1281</v>
      </c>
      <c r="C394" t="s">
        <v>1912</v>
      </c>
      <c r="D394" t="s">
        <v>1913</v>
      </c>
      <c r="E394" s="2">
        <v>46268.582638888889</v>
      </c>
    </row>
    <row r="395" spans="1:5" x14ac:dyDescent="0.3">
      <c r="A395" t="s">
        <v>1285</v>
      </c>
      <c r="B395" t="s">
        <v>1284</v>
      </c>
      <c r="C395" t="s">
        <v>1914</v>
      </c>
      <c r="D395" t="s">
        <v>1913</v>
      </c>
      <c r="E395" s="2">
        <v>46226.855555555558</v>
      </c>
    </row>
    <row r="396" spans="1:5" x14ac:dyDescent="0.3">
      <c r="A396" t="s">
        <v>1288</v>
      </c>
      <c r="B396" t="s">
        <v>1287</v>
      </c>
      <c r="C396" t="s">
        <v>1912</v>
      </c>
      <c r="D396" t="s">
        <v>36</v>
      </c>
      <c r="E396" s="2">
        <v>46240.302083333336</v>
      </c>
    </row>
    <row r="397" spans="1:5" x14ac:dyDescent="0.3">
      <c r="A397" t="s">
        <v>1291</v>
      </c>
      <c r="B397" t="s">
        <v>1290</v>
      </c>
      <c r="C397" t="s">
        <v>1914</v>
      </c>
      <c r="D397" t="s">
        <v>1913</v>
      </c>
      <c r="E397" s="2">
        <v>46238.765277777777</v>
      </c>
    </row>
    <row r="398" spans="1:5" x14ac:dyDescent="0.3">
      <c r="A398" t="s">
        <v>1294</v>
      </c>
      <c r="B398" t="s">
        <v>1293</v>
      </c>
      <c r="C398" t="s">
        <v>1914</v>
      </c>
      <c r="D398" t="s">
        <v>1916</v>
      </c>
      <c r="E398" s="2">
        <v>46286.429861111108</v>
      </c>
    </row>
    <row r="399" spans="1:5" x14ac:dyDescent="0.3">
      <c r="A399" t="s">
        <v>1297</v>
      </c>
      <c r="B399" t="s">
        <v>1296</v>
      </c>
      <c r="C399" t="s">
        <v>1914</v>
      </c>
      <c r="D399" t="s">
        <v>1913</v>
      </c>
      <c r="E399" s="2">
        <v>46258.919444444444</v>
      </c>
    </row>
    <row r="400" spans="1:5" x14ac:dyDescent="0.3">
      <c r="A400" t="s">
        <v>1300</v>
      </c>
      <c r="B400" t="s">
        <v>1299</v>
      </c>
      <c r="C400" t="s">
        <v>1915</v>
      </c>
      <c r="D400" t="s">
        <v>36</v>
      </c>
      <c r="E400" s="2">
        <v>46283.560416666667</v>
      </c>
    </row>
    <row r="401" spans="1:5" x14ac:dyDescent="0.3">
      <c r="A401" t="s">
        <v>1303</v>
      </c>
      <c r="B401" t="s">
        <v>1302</v>
      </c>
      <c r="C401" t="s">
        <v>1912</v>
      </c>
      <c r="D401" t="s">
        <v>1913</v>
      </c>
      <c r="E401" s="2">
        <v>46242.727777777778</v>
      </c>
    </row>
    <row r="402" spans="1:5" x14ac:dyDescent="0.3">
      <c r="A402" t="s">
        <v>1306</v>
      </c>
      <c r="B402" t="s">
        <v>1305</v>
      </c>
      <c r="C402" t="s">
        <v>1914</v>
      </c>
      <c r="D402" t="s">
        <v>1913</v>
      </c>
      <c r="E402" s="2">
        <v>46287.779861111114</v>
      </c>
    </row>
    <row r="403" spans="1:5" x14ac:dyDescent="0.3">
      <c r="A403" t="s">
        <v>1309</v>
      </c>
      <c r="B403" t="s">
        <v>1308</v>
      </c>
      <c r="C403" t="s">
        <v>1912</v>
      </c>
      <c r="D403" t="s">
        <v>1913</v>
      </c>
      <c r="E403" s="2">
        <v>46288.520833333336</v>
      </c>
    </row>
    <row r="404" spans="1:5" x14ac:dyDescent="0.3">
      <c r="A404" t="s">
        <v>1312</v>
      </c>
      <c r="B404" t="s">
        <v>1311</v>
      </c>
      <c r="C404" t="s">
        <v>1912</v>
      </c>
      <c r="D404" t="s">
        <v>1913</v>
      </c>
      <c r="E404" s="2">
        <v>46255.576388888891</v>
      </c>
    </row>
    <row r="405" spans="1:5" x14ac:dyDescent="0.3">
      <c r="A405" t="s">
        <v>1315</v>
      </c>
      <c r="B405" t="s">
        <v>1314</v>
      </c>
      <c r="C405" t="s">
        <v>1914</v>
      </c>
      <c r="D405" t="s">
        <v>1913</v>
      </c>
      <c r="E405" s="2">
        <v>46291.651388888888</v>
      </c>
    </row>
    <row r="406" spans="1:5" x14ac:dyDescent="0.3">
      <c r="A406" t="s">
        <v>1318</v>
      </c>
      <c r="B406" t="s">
        <v>1317</v>
      </c>
      <c r="C406" t="s">
        <v>1915</v>
      </c>
      <c r="D406" t="s">
        <v>1913</v>
      </c>
      <c r="E406" s="2">
        <v>46288.89166666667</v>
      </c>
    </row>
    <row r="407" spans="1:5" x14ac:dyDescent="0.3">
      <c r="A407" t="s">
        <v>1321</v>
      </c>
      <c r="B407" t="s">
        <v>1320</v>
      </c>
      <c r="C407" t="s">
        <v>1915</v>
      </c>
      <c r="D407" t="s">
        <v>1913</v>
      </c>
      <c r="E407" s="2">
        <v>46291.895138888889</v>
      </c>
    </row>
    <row r="408" spans="1:5" x14ac:dyDescent="0.3">
      <c r="A408" t="s">
        <v>1324</v>
      </c>
      <c r="B408" t="s">
        <v>1323</v>
      </c>
      <c r="C408" t="s">
        <v>1912</v>
      </c>
      <c r="D408" t="s">
        <v>1913</v>
      </c>
      <c r="E408" s="2">
        <v>46251.48541666667</v>
      </c>
    </row>
    <row r="409" spans="1:5" x14ac:dyDescent="0.3">
      <c r="A409" t="s">
        <v>1327</v>
      </c>
      <c r="B409" t="s">
        <v>1326</v>
      </c>
      <c r="C409" t="s">
        <v>1914</v>
      </c>
      <c r="D409" t="s">
        <v>1913</v>
      </c>
      <c r="E409" s="2">
        <v>46264.919444444444</v>
      </c>
    </row>
    <row r="410" spans="1:5" x14ac:dyDescent="0.3">
      <c r="A410" t="s">
        <v>1330</v>
      </c>
      <c r="B410" t="s">
        <v>1329</v>
      </c>
      <c r="C410" t="s">
        <v>1912</v>
      </c>
      <c r="D410" t="s">
        <v>1913</v>
      </c>
      <c r="E410" s="2">
        <v>46223.372916666667</v>
      </c>
    </row>
    <row r="411" spans="1:5" x14ac:dyDescent="0.3">
      <c r="A411" t="s">
        <v>1335</v>
      </c>
      <c r="B411" t="s">
        <v>1334</v>
      </c>
      <c r="C411" t="s">
        <v>1912</v>
      </c>
      <c r="D411" t="s">
        <v>1913</v>
      </c>
      <c r="E411" s="2">
        <v>46230.842361111114</v>
      </c>
    </row>
    <row r="412" spans="1:5" x14ac:dyDescent="0.3">
      <c r="A412" t="s">
        <v>1338</v>
      </c>
      <c r="B412" t="s">
        <v>1337</v>
      </c>
      <c r="C412" t="s">
        <v>1915</v>
      </c>
      <c r="D412" t="s">
        <v>1913</v>
      </c>
      <c r="E412" s="2">
        <v>46285.552777777775</v>
      </c>
    </row>
    <row r="413" spans="1:5" x14ac:dyDescent="0.3">
      <c r="A413" t="s">
        <v>1341</v>
      </c>
      <c r="B413" t="s">
        <v>1340</v>
      </c>
      <c r="C413" t="s">
        <v>1914</v>
      </c>
      <c r="D413" t="s">
        <v>1913</v>
      </c>
      <c r="E413" s="2">
        <v>46205.922222222223</v>
      </c>
    </row>
    <row r="414" spans="1:5" x14ac:dyDescent="0.3">
      <c r="A414" t="s">
        <v>1344</v>
      </c>
      <c r="B414" t="s">
        <v>1343</v>
      </c>
      <c r="C414" t="s">
        <v>1912</v>
      </c>
      <c r="D414" t="s">
        <v>1913</v>
      </c>
      <c r="E414" s="2">
        <v>46232.786805555559</v>
      </c>
    </row>
    <row r="415" spans="1:5" x14ac:dyDescent="0.3">
      <c r="A415" t="s">
        <v>1347</v>
      </c>
      <c r="B415" t="s">
        <v>1346</v>
      </c>
      <c r="C415" t="s">
        <v>1914</v>
      </c>
      <c r="D415" t="s">
        <v>1913</v>
      </c>
      <c r="E415" s="2">
        <v>46212.830555555556</v>
      </c>
    </row>
    <row r="416" spans="1:5" x14ac:dyDescent="0.3">
      <c r="A416" t="s">
        <v>1350</v>
      </c>
      <c r="B416" t="s">
        <v>1349</v>
      </c>
      <c r="C416" t="s">
        <v>1915</v>
      </c>
      <c r="D416" t="s">
        <v>1913</v>
      </c>
      <c r="E416" s="2">
        <v>46259.913888888892</v>
      </c>
    </row>
    <row r="417" spans="1:5" x14ac:dyDescent="0.3">
      <c r="A417" t="s">
        <v>1356</v>
      </c>
      <c r="B417" t="s">
        <v>1355</v>
      </c>
      <c r="C417" t="s">
        <v>1914</v>
      </c>
      <c r="D417" t="s">
        <v>1913</v>
      </c>
      <c r="E417" s="2">
        <v>46219.571527777778</v>
      </c>
    </row>
    <row r="418" spans="1:5" x14ac:dyDescent="0.3">
      <c r="A418" t="s">
        <v>1359</v>
      </c>
      <c r="B418" t="s">
        <v>1358</v>
      </c>
      <c r="C418" t="s">
        <v>1914</v>
      </c>
      <c r="D418" t="s">
        <v>1913</v>
      </c>
      <c r="E418" s="2">
        <v>46280.334722222222</v>
      </c>
    </row>
    <row r="419" spans="1:5" x14ac:dyDescent="0.3">
      <c r="A419" t="s">
        <v>1362</v>
      </c>
      <c r="B419" t="s">
        <v>1361</v>
      </c>
      <c r="C419" t="s">
        <v>1914</v>
      </c>
      <c r="D419" t="s">
        <v>1913</v>
      </c>
      <c r="E419" s="2">
        <v>46219.669444444444</v>
      </c>
    </row>
    <row r="420" spans="1:5" x14ac:dyDescent="0.3">
      <c r="A420" t="s">
        <v>1364</v>
      </c>
      <c r="B420" t="s">
        <v>1363</v>
      </c>
      <c r="C420" t="s">
        <v>1915</v>
      </c>
      <c r="D420" t="s">
        <v>1913</v>
      </c>
      <c r="E420" s="2">
        <v>46288.638888888891</v>
      </c>
    </row>
    <row r="421" spans="1:5" x14ac:dyDescent="0.3">
      <c r="A421" t="s">
        <v>1367</v>
      </c>
      <c r="B421" t="s">
        <v>1366</v>
      </c>
      <c r="C421" t="s">
        <v>1912</v>
      </c>
      <c r="D421" t="s">
        <v>36</v>
      </c>
      <c r="E421" s="2">
        <v>46240.370138888888</v>
      </c>
    </row>
    <row r="422" spans="1:5" x14ac:dyDescent="0.3">
      <c r="A422" t="s">
        <v>1370</v>
      </c>
      <c r="B422" t="s">
        <v>1369</v>
      </c>
      <c r="C422" t="s">
        <v>1914</v>
      </c>
      <c r="D422" t="s">
        <v>1913</v>
      </c>
      <c r="E422" s="2">
        <v>46249.771527777775</v>
      </c>
    </row>
    <row r="423" spans="1:5" x14ac:dyDescent="0.3">
      <c r="A423" t="s">
        <v>1373</v>
      </c>
      <c r="B423" t="s">
        <v>1372</v>
      </c>
      <c r="C423" t="s">
        <v>1912</v>
      </c>
      <c r="D423" t="s">
        <v>1913</v>
      </c>
      <c r="E423" s="2">
        <v>46246.445833333331</v>
      </c>
    </row>
    <row r="424" spans="1:5" x14ac:dyDescent="0.3">
      <c r="A424" t="s">
        <v>1376</v>
      </c>
      <c r="B424" t="s">
        <v>1375</v>
      </c>
      <c r="C424" t="s">
        <v>1912</v>
      </c>
      <c r="D424" t="s">
        <v>1913</v>
      </c>
      <c r="E424" s="2">
        <v>46215.842361111114</v>
      </c>
    </row>
    <row r="425" spans="1:5" x14ac:dyDescent="0.3">
      <c r="A425" t="s">
        <v>1379</v>
      </c>
      <c r="B425" t="s">
        <v>1378</v>
      </c>
      <c r="C425" t="s">
        <v>1915</v>
      </c>
      <c r="D425" t="s">
        <v>1913</v>
      </c>
      <c r="E425" s="2">
        <v>46237.579861111109</v>
      </c>
    </row>
    <row r="426" spans="1:5" x14ac:dyDescent="0.3">
      <c r="A426" t="s">
        <v>1381</v>
      </c>
      <c r="B426" t="s">
        <v>1380</v>
      </c>
      <c r="C426" t="s">
        <v>1914</v>
      </c>
      <c r="D426" t="s">
        <v>1913</v>
      </c>
      <c r="E426" s="2">
        <v>46258.743750000001</v>
      </c>
    </row>
    <row r="427" spans="1:5" x14ac:dyDescent="0.3">
      <c r="A427" t="s">
        <v>1384</v>
      </c>
      <c r="B427" t="s">
        <v>1383</v>
      </c>
      <c r="C427" t="s">
        <v>1914</v>
      </c>
      <c r="D427" t="s">
        <v>1913</v>
      </c>
      <c r="E427" s="2">
        <v>46246.544444444444</v>
      </c>
    </row>
    <row r="428" spans="1:5" x14ac:dyDescent="0.3">
      <c r="A428" t="s">
        <v>1387</v>
      </c>
      <c r="B428" t="s">
        <v>1386</v>
      </c>
      <c r="C428" t="s">
        <v>1912</v>
      </c>
      <c r="D428" t="s">
        <v>1913</v>
      </c>
      <c r="E428" s="2">
        <v>46227.354861111111</v>
      </c>
    </row>
    <row r="429" spans="1:5" x14ac:dyDescent="0.3">
      <c r="A429" t="s">
        <v>1390</v>
      </c>
      <c r="B429" t="s">
        <v>1389</v>
      </c>
      <c r="C429" t="s">
        <v>1915</v>
      </c>
      <c r="D429" t="s">
        <v>1913</v>
      </c>
      <c r="E429" s="2">
        <v>46218.396527777775</v>
      </c>
    </row>
    <row r="430" spans="1:5" x14ac:dyDescent="0.3">
      <c r="A430" t="s">
        <v>1395</v>
      </c>
      <c r="B430" t="s">
        <v>1394</v>
      </c>
      <c r="C430" t="s">
        <v>1915</v>
      </c>
      <c r="D430" t="s">
        <v>1913</v>
      </c>
      <c r="E430" s="2">
        <v>46265.904166666667</v>
      </c>
    </row>
    <row r="431" spans="1:5" x14ac:dyDescent="0.3">
      <c r="A431" t="s">
        <v>1398</v>
      </c>
      <c r="B431" t="s">
        <v>1397</v>
      </c>
      <c r="C431" t="s">
        <v>1914</v>
      </c>
      <c r="D431" t="s">
        <v>1913</v>
      </c>
      <c r="E431" s="2">
        <v>46205.825694444444</v>
      </c>
    </row>
    <row r="432" spans="1:5" x14ac:dyDescent="0.3">
      <c r="A432" t="s">
        <v>1401</v>
      </c>
      <c r="B432" t="s">
        <v>1400</v>
      </c>
      <c r="C432" t="s">
        <v>1914</v>
      </c>
      <c r="D432" t="s">
        <v>1913</v>
      </c>
      <c r="E432" s="2">
        <v>46270.670138888891</v>
      </c>
    </row>
    <row r="433" spans="1:5" x14ac:dyDescent="0.3">
      <c r="A433" t="s">
        <v>1404</v>
      </c>
      <c r="B433" t="s">
        <v>1403</v>
      </c>
      <c r="C433" t="s">
        <v>1914</v>
      </c>
      <c r="D433" t="s">
        <v>1913</v>
      </c>
      <c r="E433" s="2">
        <v>46223.869444444441</v>
      </c>
    </row>
    <row r="434" spans="1:5" x14ac:dyDescent="0.3">
      <c r="A434" t="s">
        <v>1407</v>
      </c>
      <c r="B434" t="s">
        <v>1406</v>
      </c>
      <c r="C434" t="s">
        <v>1915</v>
      </c>
      <c r="D434" t="s">
        <v>1913</v>
      </c>
      <c r="E434" s="2">
        <v>46268.895138888889</v>
      </c>
    </row>
    <row r="435" spans="1:5" x14ac:dyDescent="0.3">
      <c r="A435" t="s">
        <v>1412</v>
      </c>
      <c r="B435" t="s">
        <v>1411</v>
      </c>
      <c r="C435" t="s">
        <v>1915</v>
      </c>
      <c r="D435" t="s">
        <v>1913</v>
      </c>
      <c r="E435" s="2">
        <v>46277.571527777778</v>
      </c>
    </row>
    <row r="436" spans="1:5" x14ac:dyDescent="0.3">
      <c r="A436" t="s">
        <v>1415</v>
      </c>
      <c r="B436" t="s">
        <v>1414</v>
      </c>
      <c r="C436" t="s">
        <v>1912</v>
      </c>
      <c r="D436" t="s">
        <v>1913</v>
      </c>
      <c r="E436" s="2">
        <v>46217.543055555558</v>
      </c>
    </row>
    <row r="437" spans="1:5" x14ac:dyDescent="0.3">
      <c r="A437" t="s">
        <v>1418</v>
      </c>
      <c r="B437" t="s">
        <v>1417</v>
      </c>
      <c r="C437" t="s">
        <v>1912</v>
      </c>
      <c r="D437" t="s">
        <v>1913</v>
      </c>
      <c r="E437" s="2">
        <v>46269.638194444444</v>
      </c>
    </row>
    <row r="438" spans="1:5" x14ac:dyDescent="0.3">
      <c r="A438" t="s">
        <v>1421</v>
      </c>
      <c r="B438" t="s">
        <v>1420</v>
      </c>
      <c r="C438" t="s">
        <v>1915</v>
      </c>
      <c r="D438" t="s">
        <v>1913</v>
      </c>
      <c r="E438" s="2">
        <v>46262.504166666666</v>
      </c>
    </row>
    <row r="439" spans="1:5" x14ac:dyDescent="0.3">
      <c r="A439" t="s">
        <v>1424</v>
      </c>
      <c r="B439" t="s">
        <v>1423</v>
      </c>
      <c r="C439" t="s">
        <v>1912</v>
      </c>
      <c r="D439" t="s">
        <v>1913</v>
      </c>
      <c r="E439" s="2">
        <v>46216.851388888892</v>
      </c>
    </row>
    <row r="440" spans="1:5" x14ac:dyDescent="0.3">
      <c r="A440" t="s">
        <v>1427</v>
      </c>
      <c r="B440" t="s">
        <v>1426</v>
      </c>
      <c r="C440" t="s">
        <v>1914</v>
      </c>
      <c r="D440" t="s">
        <v>1913</v>
      </c>
      <c r="E440" s="2">
        <v>46293.370138888888</v>
      </c>
    </row>
    <row r="441" spans="1:5" x14ac:dyDescent="0.3">
      <c r="A441" t="s">
        <v>1430</v>
      </c>
      <c r="B441" t="s">
        <v>1429</v>
      </c>
      <c r="C441" t="s">
        <v>1912</v>
      </c>
      <c r="D441" t="s">
        <v>1913</v>
      </c>
      <c r="E441" s="2">
        <v>46228.363888888889</v>
      </c>
    </row>
    <row r="442" spans="1:5" x14ac:dyDescent="0.3">
      <c r="A442" t="s">
        <v>1433</v>
      </c>
      <c r="B442" t="s">
        <v>1432</v>
      </c>
      <c r="C442" t="s">
        <v>1914</v>
      </c>
      <c r="D442" t="s">
        <v>1913</v>
      </c>
      <c r="E442" s="2">
        <v>46209.92083333333</v>
      </c>
    </row>
    <row r="443" spans="1:5" x14ac:dyDescent="0.3">
      <c r="A443" t="s">
        <v>1436</v>
      </c>
      <c r="B443" t="s">
        <v>1435</v>
      </c>
      <c r="C443" t="s">
        <v>1912</v>
      </c>
      <c r="D443" t="s">
        <v>1913</v>
      </c>
      <c r="E443" s="2">
        <v>46221.563194444447</v>
      </c>
    </row>
    <row r="444" spans="1:5" x14ac:dyDescent="0.3">
      <c r="A444" t="s">
        <v>1439</v>
      </c>
      <c r="B444" t="s">
        <v>1438</v>
      </c>
      <c r="C444" t="s">
        <v>1915</v>
      </c>
      <c r="D444" t="s">
        <v>1913</v>
      </c>
      <c r="E444" s="2">
        <v>46226.765972222223</v>
      </c>
    </row>
    <row r="445" spans="1:5" x14ac:dyDescent="0.3">
      <c r="A445" t="s">
        <v>1442</v>
      </c>
      <c r="B445" t="s">
        <v>1441</v>
      </c>
      <c r="C445" t="s">
        <v>1915</v>
      </c>
      <c r="D445" t="s">
        <v>1913</v>
      </c>
      <c r="E445" s="2">
        <v>46268.918749999997</v>
      </c>
    </row>
    <row r="446" spans="1:5" x14ac:dyDescent="0.3">
      <c r="A446" t="s">
        <v>1445</v>
      </c>
      <c r="B446" t="s">
        <v>1444</v>
      </c>
      <c r="C446" t="s">
        <v>1912</v>
      </c>
      <c r="D446" t="s">
        <v>1913</v>
      </c>
      <c r="E446" s="2">
        <v>46241.631944444445</v>
      </c>
    </row>
    <row r="447" spans="1:5" x14ac:dyDescent="0.3">
      <c r="A447" t="s">
        <v>1448</v>
      </c>
      <c r="B447" t="s">
        <v>1447</v>
      </c>
      <c r="C447" t="s">
        <v>1914</v>
      </c>
      <c r="D447" t="s">
        <v>1913</v>
      </c>
      <c r="E447" s="2">
        <v>46244.811805555553</v>
      </c>
    </row>
    <row r="448" spans="1:5" x14ac:dyDescent="0.3">
      <c r="A448" t="s">
        <v>1451</v>
      </c>
      <c r="B448" t="s">
        <v>1450</v>
      </c>
      <c r="C448" t="s">
        <v>1914</v>
      </c>
      <c r="D448" t="s">
        <v>1913</v>
      </c>
      <c r="E448" s="2">
        <v>46291.557638888888</v>
      </c>
    </row>
    <row r="449" spans="1:5" x14ac:dyDescent="0.3">
      <c r="A449" t="s">
        <v>1454</v>
      </c>
      <c r="B449" t="s">
        <v>1453</v>
      </c>
      <c r="C449" t="s">
        <v>1914</v>
      </c>
      <c r="D449" t="s">
        <v>1913</v>
      </c>
      <c r="E449" s="2">
        <v>46294.376388888886</v>
      </c>
    </row>
    <row r="450" spans="1:5" x14ac:dyDescent="0.3">
      <c r="A450" t="s">
        <v>1457</v>
      </c>
      <c r="B450" t="s">
        <v>1456</v>
      </c>
      <c r="C450" t="s">
        <v>1915</v>
      </c>
      <c r="D450" t="s">
        <v>1913</v>
      </c>
      <c r="E450" s="2">
        <v>46240.906944444447</v>
      </c>
    </row>
    <row r="451" spans="1:5" x14ac:dyDescent="0.3">
      <c r="A451" t="s">
        <v>1460</v>
      </c>
      <c r="B451" t="s">
        <v>1459</v>
      </c>
      <c r="C451" t="s">
        <v>1912</v>
      </c>
      <c r="D451" t="s">
        <v>1916</v>
      </c>
      <c r="E451" s="2">
        <v>46289.29583333333</v>
      </c>
    </row>
    <row r="452" spans="1:5" x14ac:dyDescent="0.3">
      <c r="A452" t="s">
        <v>1463</v>
      </c>
      <c r="B452" t="s">
        <v>1462</v>
      </c>
      <c r="C452" t="s">
        <v>1915</v>
      </c>
      <c r="D452" t="s">
        <v>1913</v>
      </c>
      <c r="E452" s="2">
        <v>46292.82916666667</v>
      </c>
    </row>
    <row r="453" spans="1:5" x14ac:dyDescent="0.3">
      <c r="A453" t="s">
        <v>151</v>
      </c>
      <c r="B453" t="s">
        <v>1465</v>
      </c>
      <c r="C453" t="s">
        <v>1915</v>
      </c>
      <c r="D453" t="s">
        <v>1913</v>
      </c>
      <c r="E453" s="2">
        <v>46226.818749999999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CF13-F0D9-416C-8F0D-5DE0C4459EF5}">
  <dimension ref="B1:F33"/>
  <sheetViews>
    <sheetView showGridLines="0" workbookViewId="0">
      <selection activeCell="D2" sqref="D2"/>
    </sheetView>
  </sheetViews>
  <sheetFormatPr defaultRowHeight="14.4" x14ac:dyDescent="0.3"/>
  <cols>
    <col min="1" max="1" width="2.77734375" customWidth="1"/>
    <col min="2" max="2" width="35.21875" customWidth="1"/>
    <col min="3" max="3" width="20.88671875" style="3" customWidth="1"/>
  </cols>
  <sheetData>
    <row r="1" spans="2:6" ht="36.6" x14ac:dyDescent="0.3">
      <c r="B1" s="148" t="s">
        <v>2021</v>
      </c>
      <c r="C1" s="148"/>
      <c r="D1" s="66"/>
    </row>
    <row r="2" spans="2:6" ht="15" thickBot="1" x14ac:dyDescent="0.35">
      <c r="B2" s="4"/>
      <c r="C2" s="4"/>
    </row>
    <row r="3" spans="2:6" ht="15" thickBot="1" x14ac:dyDescent="0.35">
      <c r="B3" s="67" t="s">
        <v>1466</v>
      </c>
      <c r="C3" s="68">
        <f>COUNTA(tblTransactions[TransactionID])</f>
        <v>501</v>
      </c>
    </row>
    <row r="4" spans="2:6" ht="15" thickBot="1" x14ac:dyDescent="0.35">
      <c r="B4" s="69"/>
      <c r="C4" s="70"/>
    </row>
    <row r="5" spans="2:6" x14ac:dyDescent="0.3">
      <c r="B5" s="71" t="s">
        <v>1467</v>
      </c>
      <c r="C5" s="72" t="s">
        <v>1468</v>
      </c>
    </row>
    <row r="6" spans="2:6" x14ac:dyDescent="0.3">
      <c r="B6" s="63" t="s">
        <v>11</v>
      </c>
      <c r="C6" s="73">
        <f>COUNTIF(tblTransactions[TransactionStatus],B6)</f>
        <v>433</v>
      </c>
    </row>
    <row r="7" spans="2:6" x14ac:dyDescent="0.3">
      <c r="B7" s="64" t="s">
        <v>36</v>
      </c>
      <c r="C7" s="74">
        <f>COUNTIF(tblTransactions[TransactionStatus],B7)</f>
        <v>20</v>
      </c>
    </row>
    <row r="8" spans="2:6" ht="15" thickBot="1" x14ac:dyDescent="0.35">
      <c r="B8" s="75" t="s">
        <v>111</v>
      </c>
      <c r="C8" s="76">
        <f>COUNTIF(tblTransactions[TransactionStatus],B8)</f>
        <v>48</v>
      </c>
    </row>
    <row r="9" spans="2:6" ht="15" thickBot="1" x14ac:dyDescent="0.35">
      <c r="B9" s="69"/>
      <c r="C9" s="70"/>
    </row>
    <row r="10" spans="2:6" x14ac:dyDescent="0.3">
      <c r="B10" s="71" t="s">
        <v>1469</v>
      </c>
      <c r="C10" s="72" t="s">
        <v>1468</v>
      </c>
    </row>
    <row r="11" spans="2:6" x14ac:dyDescent="0.3">
      <c r="B11" s="64" t="s">
        <v>1470</v>
      </c>
      <c r="C11" s="74">
        <f>COUNTBLANK(tblTransactions[ApprovalID])</f>
        <v>44</v>
      </c>
    </row>
    <row r="12" spans="2:6" ht="29.4" thickBot="1" x14ac:dyDescent="0.35">
      <c r="B12" s="65" t="s">
        <v>1471</v>
      </c>
      <c r="C12" s="77">
        <f>44/501</f>
        <v>8.7824351297405193E-2</v>
      </c>
    </row>
    <row r="13" spans="2:6" ht="15" thickBot="1" x14ac:dyDescent="0.35">
      <c r="B13" s="69"/>
      <c r="C13" s="70"/>
    </row>
    <row r="14" spans="2:6" x14ac:dyDescent="0.3">
      <c r="B14" s="71" t="s">
        <v>1472</v>
      </c>
      <c r="C14" s="72" t="s">
        <v>1468</v>
      </c>
    </row>
    <row r="15" spans="2:6" ht="29.4" thickBot="1" x14ac:dyDescent="0.35">
      <c r="B15" s="65" t="s">
        <v>1473</v>
      </c>
      <c r="C15" s="76" cm="1">
        <f t="array" ref="C15">SUMPRODUCT((tblTransactions[ApprovalID]&lt;&gt;"")*(COUNTIFS(tblApprovals[TransactionID],tblTransactions[TransactionID],tblApprovals[ApprovalID],tblTransactions[ApprovalID])=0))</f>
        <v>5</v>
      </c>
      <c r="F15" s="5"/>
    </row>
    <row r="16" spans="2:6" ht="15" thickBot="1" x14ac:dyDescent="0.35">
      <c r="B16" s="69"/>
      <c r="C16" s="78"/>
    </row>
    <row r="17" spans="2:3" x14ac:dyDescent="0.3">
      <c r="B17" s="71" t="s">
        <v>1919</v>
      </c>
      <c r="C17" s="79" t="s">
        <v>1468</v>
      </c>
    </row>
    <row r="18" spans="2:3" ht="29.4" thickBot="1" x14ac:dyDescent="0.35">
      <c r="B18" s="65" t="s">
        <v>1954</v>
      </c>
      <c r="C18" s="76" cm="1">
        <f t="array" ref="C18">SUMPRODUCT((tblTransactions[ApprovalID]&lt;&gt;"")*(COUNTIFS(tblApprovals[TransactionID],tblTransactions[TransactionID],tblApprovals[ApprovalID],tblTransactions[ApprovalID])&gt;0)*(COUNTIFS(tblApprovals[TransactionID],tblTransactions[TransactionID],tblApprovals[ApprovalID],tblTransactions[ApprovalID],tblApprovals[ApprovalStatus],"&lt;&gt;Approved")&gt;0))</f>
        <v>25</v>
      </c>
    </row>
    <row r="19" spans="2:3" ht="15" thickBot="1" x14ac:dyDescent="0.35">
      <c r="B19" s="80"/>
      <c r="C19" s="81"/>
    </row>
    <row r="20" spans="2:3" ht="29.4" thickBot="1" x14ac:dyDescent="0.35">
      <c r="B20" s="82" t="s">
        <v>1917</v>
      </c>
      <c r="C20" s="83" t="s">
        <v>1468</v>
      </c>
    </row>
    <row r="21" spans="2:3" ht="29.4" thickBot="1" x14ac:dyDescent="0.35">
      <c r="B21" s="84" t="s">
        <v>1918</v>
      </c>
      <c r="C21" s="68" cm="1">
        <f t="array" ref="C21">SUMPRODUCT((tblTransactions[TransactionStatus]="Success")*(COUNTIF(tblSettlement[TransactionID],tblTransactions[TransactionID])=0))</f>
        <v>13</v>
      </c>
    </row>
    <row r="22" spans="2:3" ht="15" thickBot="1" x14ac:dyDescent="0.35">
      <c r="B22" s="85"/>
      <c r="C22" s="70"/>
    </row>
    <row r="23" spans="2:3" ht="28.8" x14ac:dyDescent="0.3">
      <c r="B23" s="86" t="s">
        <v>1922</v>
      </c>
      <c r="C23" s="79" t="s">
        <v>1468</v>
      </c>
    </row>
    <row r="24" spans="2:3" ht="15" thickBot="1" x14ac:dyDescent="0.35">
      <c r="B24" s="87" t="s">
        <v>1923</v>
      </c>
      <c r="C24" s="88" cm="1">
        <f t="array" ref="C24">SUMPRODUCT((tblSettlement[TransactionID]&lt;&gt;"")*(COUNTIF(tblSettlement[TransactionID],tblSettlement[TransactionID])&gt;1))</f>
        <v>0</v>
      </c>
    </row>
    <row r="25" spans="2:3" ht="15" thickBot="1" x14ac:dyDescent="0.35">
      <c r="B25" s="69"/>
      <c r="C25" s="78"/>
    </row>
    <row r="26" spans="2:3" ht="15" thickBot="1" x14ac:dyDescent="0.35">
      <c r="B26" s="80" t="s">
        <v>1920</v>
      </c>
      <c r="C26" s="79" t="s">
        <v>1468</v>
      </c>
    </row>
    <row r="27" spans="2:3" ht="29.4" thickBot="1" x14ac:dyDescent="0.35">
      <c r="B27" s="84" t="s">
        <v>1921</v>
      </c>
      <c r="C27" s="88" cm="1">
        <f t="array" ref="C27">SUMPRODUCT((COUNTIF(tblSettlement[TransactionID],tblTransactions[TransactionID])&gt;0)*(tblTransactions[Amount]&lt;&gt;SUMIF(tblSettlement[TransactionID],tblTransactions[TransactionID],tblSettlement[SettledAmount])))</f>
        <v>10</v>
      </c>
    </row>
    <row r="28" spans="2:3" ht="15" thickBot="1" x14ac:dyDescent="0.35">
      <c r="B28" s="89"/>
      <c r="C28" s="90"/>
    </row>
    <row r="29" spans="2:3" x14ac:dyDescent="0.3">
      <c r="B29" s="91" t="s">
        <v>2001</v>
      </c>
      <c r="C29" s="92" t="s">
        <v>1468</v>
      </c>
    </row>
    <row r="30" spans="2:3" ht="29.4" thickBot="1" x14ac:dyDescent="0.35">
      <c r="B30" s="65" t="s">
        <v>1924</v>
      </c>
      <c r="C30" s="76" cm="1">
        <f t="array" ref="C30">SUMPRODUCT((tblSettlement[TransactionID]&lt;&gt;"")*(COUNTIF(tblTransactions[TransactionID],tblSettlement[TransactionID])=0))</f>
        <v>5</v>
      </c>
    </row>
    <row r="31" spans="2:3" ht="15" thickBot="1" x14ac:dyDescent="0.35">
      <c r="B31" s="89"/>
      <c r="C31" s="89"/>
    </row>
    <row r="32" spans="2:3" x14ac:dyDescent="0.3">
      <c r="B32" s="91" t="s">
        <v>1939</v>
      </c>
      <c r="C32" s="91" t="s">
        <v>1468</v>
      </c>
    </row>
    <row r="33" spans="2:3" ht="58.2" thickBot="1" x14ac:dyDescent="0.35">
      <c r="B33" s="65" t="s">
        <v>2035</v>
      </c>
      <c r="C33" s="93" cm="1">
        <f t="array" ref="C33">SUMPRODUCT((tblTransactions[CustomerRef]&lt;&gt;"")*(COUNTIFS(tblTransactions[CustomerRef],tblTransactions[CustomerRef],tblTransactions[Amount],tblTransactions[Amount],tblTransactions[Date],tblTransactions[Date])&gt;1))</f>
        <v>2</v>
      </c>
    </row>
  </sheetData>
  <mergeCells count="1">
    <mergeCell ref="B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70C3-CD4D-400A-9BAD-63E8C561CE58}">
  <dimension ref="A1:J108"/>
  <sheetViews>
    <sheetView showGridLines="0" zoomScale="90" zoomScaleNormal="90" workbookViewId="0">
      <pane ySplit="4" topLeftCell="A5" activePane="bottomLeft" state="frozen"/>
      <selection pane="bottomLeft" activeCell="F1" sqref="F1"/>
    </sheetView>
  </sheetViews>
  <sheetFormatPr defaultRowHeight="14.4" x14ac:dyDescent="0.3"/>
  <cols>
    <col min="1" max="1" width="8.6640625" bestFit="1" customWidth="1"/>
    <col min="2" max="2" width="15.6640625" bestFit="1" customWidth="1"/>
    <col min="3" max="3" width="15.33203125" bestFit="1" customWidth="1"/>
    <col min="4" max="4" width="14.109375" bestFit="1" customWidth="1"/>
    <col min="5" max="5" width="18.33203125" customWidth="1"/>
    <col min="6" max="6" width="17" style="5" customWidth="1"/>
    <col min="7" max="7" width="18.33203125" bestFit="1" customWidth="1"/>
    <col min="8" max="8" width="12.6640625" bestFit="1" customWidth="1"/>
    <col min="9" max="9" width="14.44140625" bestFit="1" customWidth="1"/>
    <col min="10" max="10" width="112.88671875" customWidth="1"/>
  </cols>
  <sheetData>
    <row r="1" spans="1:10" ht="37.799999999999997" customHeight="1" x14ac:dyDescent="0.3">
      <c r="A1" s="155" t="s">
        <v>1970</v>
      </c>
      <c r="B1" s="155"/>
      <c r="C1" s="155"/>
      <c r="D1" s="155"/>
      <c r="E1" s="155"/>
      <c r="G1" s="149" t="s">
        <v>2036</v>
      </c>
      <c r="H1" s="150"/>
      <c r="I1" s="150"/>
      <c r="J1" s="151"/>
    </row>
    <row r="2" spans="1:10" ht="33" customHeight="1" thickBot="1" x14ac:dyDescent="0.35">
      <c r="A2" s="155"/>
      <c r="B2" s="155"/>
      <c r="C2" s="155"/>
      <c r="D2" s="155"/>
      <c r="E2" s="155"/>
      <c r="G2" s="152"/>
      <c r="H2" s="153"/>
      <c r="I2" s="153"/>
      <c r="J2" s="154"/>
    </row>
    <row r="4" spans="1:10" ht="15" thickBot="1" x14ac:dyDescent="0.35">
      <c r="A4" s="21" t="s">
        <v>1971</v>
      </c>
      <c r="B4" s="21" t="s">
        <v>1972</v>
      </c>
      <c r="C4" s="21" t="s">
        <v>1977</v>
      </c>
      <c r="D4" s="21" t="s">
        <v>7</v>
      </c>
      <c r="E4" s="21" t="s">
        <v>1</v>
      </c>
      <c r="F4" s="49" t="s">
        <v>2004</v>
      </c>
      <c r="G4" s="21" t="s">
        <v>5</v>
      </c>
      <c r="H4" s="21" t="s">
        <v>6</v>
      </c>
      <c r="I4" s="21" t="s">
        <v>1973</v>
      </c>
      <c r="J4" s="22" t="s">
        <v>1974</v>
      </c>
    </row>
    <row r="5" spans="1:10" x14ac:dyDescent="0.3">
      <c r="A5" t="s">
        <v>1978</v>
      </c>
      <c r="B5" t="s">
        <v>1979</v>
      </c>
      <c r="C5" s="8" t="s">
        <v>72</v>
      </c>
      <c r="D5" s="8" t="s">
        <v>73</v>
      </c>
      <c r="E5" s="19">
        <v>46273.874305555553</v>
      </c>
      <c r="F5" s="50">
        <v>39893.94</v>
      </c>
      <c r="G5" s="8" t="s">
        <v>11</v>
      </c>
      <c r="H5" s="8"/>
      <c r="I5" t="s">
        <v>1985</v>
      </c>
      <c r="J5" t="s">
        <v>1986</v>
      </c>
    </row>
    <row r="6" spans="1:10" x14ac:dyDescent="0.3">
      <c r="A6" t="s">
        <v>1978</v>
      </c>
      <c r="B6" t="s">
        <v>1979</v>
      </c>
      <c r="C6" s="9" t="s">
        <v>83</v>
      </c>
      <c r="D6" s="9" t="s">
        <v>84</v>
      </c>
      <c r="E6" s="20">
        <v>46260.939583333333</v>
      </c>
      <c r="F6" s="51">
        <v>33998.589999999997</v>
      </c>
      <c r="G6" s="9" t="s">
        <v>11</v>
      </c>
      <c r="H6" s="9"/>
      <c r="I6" t="s">
        <v>1985</v>
      </c>
      <c r="J6" t="s">
        <v>1986</v>
      </c>
    </row>
    <row r="7" spans="1:10" x14ac:dyDescent="0.3">
      <c r="A7" t="s">
        <v>1978</v>
      </c>
      <c r="B7" t="s">
        <v>1979</v>
      </c>
      <c r="C7" s="8" t="s">
        <v>94</v>
      </c>
      <c r="D7" s="8" t="s">
        <v>95</v>
      </c>
      <c r="E7" s="19">
        <v>46263.906944444447</v>
      </c>
      <c r="F7" s="50">
        <v>4299.3</v>
      </c>
      <c r="G7" s="8" t="s">
        <v>11</v>
      </c>
      <c r="H7" s="8"/>
      <c r="I7" t="s">
        <v>1985</v>
      </c>
      <c r="J7" t="s">
        <v>1986</v>
      </c>
    </row>
    <row r="8" spans="1:10" x14ac:dyDescent="0.3">
      <c r="A8" t="s">
        <v>1978</v>
      </c>
      <c r="B8" t="s">
        <v>1979</v>
      </c>
      <c r="C8" s="9" t="s">
        <v>108</v>
      </c>
      <c r="D8" s="9" t="s">
        <v>109</v>
      </c>
      <c r="E8" s="20">
        <v>46223.470833333333</v>
      </c>
      <c r="F8" s="51">
        <v>16523.14</v>
      </c>
      <c r="G8" s="9" t="s">
        <v>11</v>
      </c>
      <c r="H8" s="9"/>
      <c r="I8" t="s">
        <v>1985</v>
      </c>
      <c r="J8" t="s">
        <v>1986</v>
      </c>
    </row>
    <row r="9" spans="1:10" x14ac:dyDescent="0.3">
      <c r="A9" t="s">
        <v>1978</v>
      </c>
      <c r="B9" t="s">
        <v>1979</v>
      </c>
      <c r="C9" s="8" t="s">
        <v>110</v>
      </c>
      <c r="D9" s="8" t="s">
        <v>112</v>
      </c>
      <c r="E9" s="19">
        <v>46211.359027777777</v>
      </c>
      <c r="F9" s="50">
        <v>35889.94</v>
      </c>
      <c r="G9" s="8" t="s">
        <v>111</v>
      </c>
      <c r="H9" s="8"/>
      <c r="I9" t="s">
        <v>1985</v>
      </c>
      <c r="J9" t="s">
        <v>1986</v>
      </c>
    </row>
    <row r="10" spans="1:10" x14ac:dyDescent="0.3">
      <c r="A10" t="s">
        <v>1978</v>
      </c>
      <c r="B10" t="s">
        <v>1979</v>
      </c>
      <c r="C10" s="9" t="s">
        <v>140</v>
      </c>
      <c r="D10" s="9" t="s">
        <v>141</v>
      </c>
      <c r="E10" s="20">
        <v>46224.811111111114</v>
      </c>
      <c r="F10" s="51">
        <v>41488.11</v>
      </c>
      <c r="G10" s="9" t="s">
        <v>11</v>
      </c>
      <c r="H10" s="9"/>
      <c r="I10" t="s">
        <v>1985</v>
      </c>
      <c r="J10" t="s">
        <v>1986</v>
      </c>
    </row>
    <row r="11" spans="1:10" x14ac:dyDescent="0.3">
      <c r="A11" t="s">
        <v>1978</v>
      </c>
      <c r="B11" t="s">
        <v>1979</v>
      </c>
      <c r="C11" s="8" t="s">
        <v>142</v>
      </c>
      <c r="D11" s="8" t="s">
        <v>143</v>
      </c>
      <c r="E11" s="19">
        <v>46273.370138888888</v>
      </c>
      <c r="F11" s="50">
        <v>27848.89</v>
      </c>
      <c r="G11" s="8" t="s">
        <v>11</v>
      </c>
      <c r="H11" s="8"/>
      <c r="I11" t="s">
        <v>1985</v>
      </c>
      <c r="J11" t="s">
        <v>1986</v>
      </c>
    </row>
    <row r="12" spans="1:10" x14ac:dyDescent="0.3">
      <c r="A12" t="s">
        <v>1978</v>
      </c>
      <c r="B12" t="s">
        <v>1979</v>
      </c>
      <c r="C12" s="9" t="s">
        <v>165</v>
      </c>
      <c r="D12" s="9" t="s">
        <v>166</v>
      </c>
      <c r="E12" s="20">
        <v>46218.622916666667</v>
      </c>
      <c r="F12" s="51">
        <v>43349.96</v>
      </c>
      <c r="G12" s="9" t="s">
        <v>11</v>
      </c>
      <c r="H12" s="9"/>
      <c r="I12" t="s">
        <v>1985</v>
      </c>
      <c r="J12" t="s">
        <v>1986</v>
      </c>
    </row>
    <row r="13" spans="1:10" x14ac:dyDescent="0.3">
      <c r="A13" t="s">
        <v>1978</v>
      </c>
      <c r="B13" t="s">
        <v>1979</v>
      </c>
      <c r="C13" s="8" t="s">
        <v>302</v>
      </c>
      <c r="D13" s="8" t="s">
        <v>303</v>
      </c>
      <c r="E13" s="19">
        <v>46258.398611111108</v>
      </c>
      <c r="F13" s="50">
        <v>17054.509999999998</v>
      </c>
      <c r="G13" s="8" t="s">
        <v>11</v>
      </c>
      <c r="H13" s="8"/>
      <c r="I13" t="s">
        <v>1985</v>
      </c>
      <c r="J13" t="s">
        <v>1986</v>
      </c>
    </row>
    <row r="14" spans="1:10" x14ac:dyDescent="0.3">
      <c r="A14" t="s">
        <v>1978</v>
      </c>
      <c r="B14" t="s">
        <v>1979</v>
      </c>
      <c r="C14" s="9" t="s">
        <v>307</v>
      </c>
      <c r="D14" s="9" t="s">
        <v>308</v>
      </c>
      <c r="E14" s="20">
        <v>46293.595138888886</v>
      </c>
      <c r="F14" s="51">
        <v>37660.300000000003</v>
      </c>
      <c r="G14" s="9" t="s">
        <v>11</v>
      </c>
      <c r="H14" s="9"/>
      <c r="I14" t="s">
        <v>1985</v>
      </c>
      <c r="J14" t="s">
        <v>1986</v>
      </c>
    </row>
    <row r="15" spans="1:10" x14ac:dyDescent="0.3">
      <c r="A15" t="s">
        <v>1978</v>
      </c>
      <c r="B15" t="s">
        <v>1979</v>
      </c>
      <c r="C15" s="8" t="s">
        <v>363</v>
      </c>
      <c r="D15" s="8" t="s">
        <v>364</v>
      </c>
      <c r="E15" s="19">
        <v>46284.830555555556</v>
      </c>
      <c r="F15" s="50">
        <v>57015.29</v>
      </c>
      <c r="G15" s="8" t="s">
        <v>11</v>
      </c>
      <c r="H15" s="8"/>
      <c r="I15" t="s">
        <v>1985</v>
      </c>
      <c r="J15" t="s">
        <v>1986</v>
      </c>
    </row>
    <row r="16" spans="1:10" x14ac:dyDescent="0.3">
      <c r="A16" t="s">
        <v>1978</v>
      </c>
      <c r="B16" t="s">
        <v>1979</v>
      </c>
      <c r="C16" s="9" t="s">
        <v>383</v>
      </c>
      <c r="D16" s="9" t="s">
        <v>384</v>
      </c>
      <c r="E16" s="20">
        <v>46234.60833333333</v>
      </c>
      <c r="F16" s="52">
        <v>27082.2</v>
      </c>
      <c r="G16" s="9" t="s">
        <v>11</v>
      </c>
      <c r="H16" s="9"/>
      <c r="I16" t="s">
        <v>1985</v>
      </c>
      <c r="J16" t="s">
        <v>1986</v>
      </c>
    </row>
    <row r="17" spans="1:10" x14ac:dyDescent="0.3">
      <c r="A17" t="s">
        <v>1978</v>
      </c>
      <c r="B17" t="s">
        <v>1979</v>
      </c>
      <c r="C17" s="8" t="s">
        <v>427</v>
      </c>
      <c r="D17" s="8" t="s">
        <v>428</v>
      </c>
      <c r="E17" s="19">
        <v>46210.847916666666</v>
      </c>
      <c r="F17" s="50">
        <v>18456.78</v>
      </c>
      <c r="G17" s="8" t="s">
        <v>11</v>
      </c>
      <c r="H17" s="8"/>
      <c r="I17" t="s">
        <v>1985</v>
      </c>
      <c r="J17" t="s">
        <v>1986</v>
      </c>
    </row>
    <row r="18" spans="1:10" x14ac:dyDescent="0.3">
      <c r="A18" t="s">
        <v>1978</v>
      </c>
      <c r="B18" t="s">
        <v>1979</v>
      </c>
      <c r="C18" s="9" t="s">
        <v>429</v>
      </c>
      <c r="D18" s="9" t="s">
        <v>430</v>
      </c>
      <c r="E18" s="20">
        <v>46279.494444444441</v>
      </c>
      <c r="F18" s="51">
        <v>65259.73</v>
      </c>
      <c r="G18" s="9" t="s">
        <v>11</v>
      </c>
      <c r="H18" s="9"/>
      <c r="I18" t="s">
        <v>1985</v>
      </c>
      <c r="J18" t="s">
        <v>1986</v>
      </c>
    </row>
    <row r="19" spans="1:10" x14ac:dyDescent="0.3">
      <c r="A19" t="s">
        <v>1978</v>
      </c>
      <c r="B19" t="s">
        <v>1979</v>
      </c>
      <c r="C19" s="8" t="s">
        <v>431</v>
      </c>
      <c r="D19" s="8" t="s">
        <v>432</v>
      </c>
      <c r="E19" s="19">
        <v>46220.677777777775</v>
      </c>
      <c r="F19" s="50">
        <v>59938.91</v>
      </c>
      <c r="G19" s="8" t="s">
        <v>11</v>
      </c>
      <c r="H19" s="8"/>
      <c r="I19" t="s">
        <v>1985</v>
      </c>
      <c r="J19" t="s">
        <v>1986</v>
      </c>
    </row>
    <row r="20" spans="1:10" x14ac:dyDescent="0.3">
      <c r="A20" t="s">
        <v>1978</v>
      </c>
      <c r="B20" t="s">
        <v>1979</v>
      </c>
      <c r="C20" s="9" t="s">
        <v>454</v>
      </c>
      <c r="D20" s="9" t="s">
        <v>455</v>
      </c>
      <c r="E20" s="20">
        <v>46244.597222222219</v>
      </c>
      <c r="F20" s="51">
        <v>49966.81</v>
      </c>
      <c r="G20" s="9" t="s">
        <v>11</v>
      </c>
      <c r="H20" s="9"/>
      <c r="I20" t="s">
        <v>1985</v>
      </c>
      <c r="J20" t="s">
        <v>1986</v>
      </c>
    </row>
    <row r="21" spans="1:10" x14ac:dyDescent="0.3">
      <c r="A21" t="s">
        <v>1978</v>
      </c>
      <c r="B21" t="s">
        <v>1979</v>
      </c>
      <c r="C21" s="8" t="s">
        <v>456</v>
      </c>
      <c r="D21" s="8" t="s">
        <v>457</v>
      </c>
      <c r="E21" s="19">
        <v>46215.587500000001</v>
      </c>
      <c r="F21" s="50">
        <v>55908.03</v>
      </c>
      <c r="G21" s="8" t="s">
        <v>11</v>
      </c>
      <c r="H21" s="8"/>
      <c r="I21" t="s">
        <v>1985</v>
      </c>
      <c r="J21" t="s">
        <v>1986</v>
      </c>
    </row>
    <row r="22" spans="1:10" x14ac:dyDescent="0.3">
      <c r="A22" t="s">
        <v>1978</v>
      </c>
      <c r="B22" t="s">
        <v>1979</v>
      </c>
      <c r="C22" s="9" t="s">
        <v>470</v>
      </c>
      <c r="D22" s="9" t="s">
        <v>471</v>
      </c>
      <c r="E22" s="20">
        <v>46247.541666666664</v>
      </c>
      <c r="F22" s="51">
        <v>13810.07</v>
      </c>
      <c r="G22" s="9" t="s">
        <v>11</v>
      </c>
      <c r="H22" s="9"/>
      <c r="I22" t="s">
        <v>1985</v>
      </c>
      <c r="J22" t="s">
        <v>1986</v>
      </c>
    </row>
    <row r="23" spans="1:10" x14ac:dyDescent="0.3">
      <c r="A23" t="s">
        <v>1978</v>
      </c>
      <c r="B23" t="s">
        <v>1979</v>
      </c>
      <c r="C23" s="8" t="s">
        <v>510</v>
      </c>
      <c r="D23" s="8" t="s">
        <v>511</v>
      </c>
      <c r="E23" s="19">
        <v>46223.62777777778</v>
      </c>
      <c r="F23" s="50">
        <v>35301.85</v>
      </c>
      <c r="G23" s="8" t="s">
        <v>11</v>
      </c>
      <c r="H23" s="8"/>
      <c r="I23" t="s">
        <v>1985</v>
      </c>
      <c r="J23" t="s">
        <v>1986</v>
      </c>
    </row>
    <row r="24" spans="1:10" x14ac:dyDescent="0.3">
      <c r="A24" t="s">
        <v>1978</v>
      </c>
      <c r="B24" t="s">
        <v>1979</v>
      </c>
      <c r="C24" s="9" t="s">
        <v>554</v>
      </c>
      <c r="D24" s="9" t="s">
        <v>555</v>
      </c>
      <c r="E24" s="20">
        <v>46271.590277777781</v>
      </c>
      <c r="F24" s="51">
        <v>61312.62</v>
      </c>
      <c r="G24" s="9" t="s">
        <v>11</v>
      </c>
      <c r="H24" s="9"/>
      <c r="I24" t="s">
        <v>1985</v>
      </c>
      <c r="J24" t="s">
        <v>1986</v>
      </c>
    </row>
    <row r="25" spans="1:10" x14ac:dyDescent="0.3">
      <c r="A25" t="s">
        <v>1978</v>
      </c>
      <c r="B25" t="s">
        <v>1979</v>
      </c>
      <c r="C25" s="8" t="s">
        <v>565</v>
      </c>
      <c r="D25" s="8" t="s">
        <v>566</v>
      </c>
      <c r="E25" s="19">
        <v>46244.92083333333</v>
      </c>
      <c r="F25" s="50">
        <v>62978.43</v>
      </c>
      <c r="G25" s="8" t="s">
        <v>11</v>
      </c>
      <c r="H25" s="8"/>
      <c r="I25" t="s">
        <v>1985</v>
      </c>
      <c r="J25" t="s">
        <v>1986</v>
      </c>
    </row>
    <row r="26" spans="1:10" x14ac:dyDescent="0.3">
      <c r="A26" t="s">
        <v>1978</v>
      </c>
      <c r="B26" t="s">
        <v>1979</v>
      </c>
      <c r="C26" s="9" t="s">
        <v>573</v>
      </c>
      <c r="D26" s="9" t="s">
        <v>574</v>
      </c>
      <c r="E26" s="20">
        <v>46234.504861111112</v>
      </c>
      <c r="F26" s="51">
        <v>3819.27</v>
      </c>
      <c r="G26" s="9" t="s">
        <v>11</v>
      </c>
      <c r="H26" s="9"/>
      <c r="I26" t="s">
        <v>1985</v>
      </c>
      <c r="J26" t="s">
        <v>1986</v>
      </c>
    </row>
    <row r="27" spans="1:10" x14ac:dyDescent="0.3">
      <c r="A27" t="s">
        <v>1978</v>
      </c>
      <c r="B27" t="s">
        <v>1979</v>
      </c>
      <c r="C27" s="8" t="s">
        <v>605</v>
      </c>
      <c r="D27" s="8" t="s">
        <v>606</v>
      </c>
      <c r="E27" s="19">
        <v>46292.640972222223</v>
      </c>
      <c r="F27" s="50">
        <v>69342.210000000006</v>
      </c>
      <c r="G27" s="8" t="s">
        <v>11</v>
      </c>
      <c r="H27" s="8"/>
      <c r="I27" t="s">
        <v>1985</v>
      </c>
      <c r="J27" t="s">
        <v>1986</v>
      </c>
    </row>
    <row r="28" spans="1:10" x14ac:dyDescent="0.3">
      <c r="A28" t="s">
        <v>1978</v>
      </c>
      <c r="B28" t="s">
        <v>1979</v>
      </c>
      <c r="C28" s="9" t="s">
        <v>615</v>
      </c>
      <c r="D28" s="9" t="s">
        <v>616</v>
      </c>
      <c r="E28" s="20">
        <v>46207.45416666667</v>
      </c>
      <c r="F28" s="51">
        <v>45666.07</v>
      </c>
      <c r="G28" s="9" t="s">
        <v>11</v>
      </c>
      <c r="H28" s="9"/>
      <c r="I28" t="s">
        <v>1985</v>
      </c>
      <c r="J28" t="s">
        <v>1986</v>
      </c>
    </row>
    <row r="29" spans="1:10" x14ac:dyDescent="0.3">
      <c r="A29" t="s">
        <v>1978</v>
      </c>
      <c r="B29" t="s">
        <v>1979</v>
      </c>
      <c r="C29" s="8" t="s">
        <v>680</v>
      </c>
      <c r="D29" s="8" t="s">
        <v>681</v>
      </c>
      <c r="E29" s="19">
        <v>46254.686805555553</v>
      </c>
      <c r="F29" s="50">
        <v>72509.83</v>
      </c>
      <c r="G29" s="8" t="s">
        <v>11</v>
      </c>
      <c r="H29" s="8"/>
      <c r="I29" t="s">
        <v>1985</v>
      </c>
      <c r="J29" t="s">
        <v>1986</v>
      </c>
    </row>
    <row r="30" spans="1:10" x14ac:dyDescent="0.3">
      <c r="A30" t="s">
        <v>1978</v>
      </c>
      <c r="B30" t="s">
        <v>1979</v>
      </c>
      <c r="C30" s="9" t="s">
        <v>709</v>
      </c>
      <c r="D30" s="9" t="s">
        <v>710</v>
      </c>
      <c r="E30" s="20">
        <v>46284.818749999999</v>
      </c>
      <c r="F30" s="51">
        <v>58151.81</v>
      </c>
      <c r="G30" s="9" t="s">
        <v>11</v>
      </c>
      <c r="H30" s="9"/>
      <c r="I30" t="s">
        <v>1985</v>
      </c>
      <c r="J30" t="s">
        <v>1986</v>
      </c>
    </row>
    <row r="31" spans="1:10" x14ac:dyDescent="0.3">
      <c r="A31" t="s">
        <v>1978</v>
      </c>
      <c r="B31" t="s">
        <v>1979</v>
      </c>
      <c r="C31" s="8" t="s">
        <v>726</v>
      </c>
      <c r="D31" s="8" t="s">
        <v>727</v>
      </c>
      <c r="E31" s="19">
        <v>46252.934027777781</v>
      </c>
      <c r="F31" s="50">
        <v>61423.72</v>
      </c>
      <c r="G31" s="8" t="s">
        <v>111</v>
      </c>
      <c r="H31" s="8"/>
      <c r="I31" t="s">
        <v>1985</v>
      </c>
      <c r="J31" t="s">
        <v>1986</v>
      </c>
    </row>
    <row r="32" spans="1:10" x14ac:dyDescent="0.3">
      <c r="A32" t="s">
        <v>1978</v>
      </c>
      <c r="B32" t="s">
        <v>1979</v>
      </c>
      <c r="C32" s="9" t="s">
        <v>775</v>
      </c>
      <c r="D32" s="9" t="s">
        <v>776</v>
      </c>
      <c r="E32" s="20">
        <v>46271.647916666669</v>
      </c>
      <c r="F32" s="51">
        <v>52856.52</v>
      </c>
      <c r="G32" s="9" t="s">
        <v>11</v>
      </c>
      <c r="H32" s="9"/>
      <c r="I32" t="s">
        <v>1985</v>
      </c>
      <c r="J32" t="s">
        <v>1986</v>
      </c>
    </row>
    <row r="33" spans="1:10" x14ac:dyDescent="0.3">
      <c r="A33" t="s">
        <v>1978</v>
      </c>
      <c r="B33" t="s">
        <v>1979</v>
      </c>
      <c r="C33" s="8" t="s">
        <v>858</v>
      </c>
      <c r="D33" s="8" t="s">
        <v>859</v>
      </c>
      <c r="E33" s="19">
        <v>46289.366666666669</v>
      </c>
      <c r="F33" s="50">
        <v>727.19</v>
      </c>
      <c r="G33" s="8" t="s">
        <v>11</v>
      </c>
      <c r="H33" s="8"/>
      <c r="I33" t="s">
        <v>1985</v>
      </c>
      <c r="J33" t="s">
        <v>1986</v>
      </c>
    </row>
    <row r="34" spans="1:10" x14ac:dyDescent="0.3">
      <c r="A34" t="s">
        <v>1978</v>
      </c>
      <c r="B34" t="s">
        <v>1979</v>
      </c>
      <c r="C34" s="9" t="s">
        <v>909</v>
      </c>
      <c r="D34" s="9" t="s">
        <v>910</v>
      </c>
      <c r="E34" s="20">
        <v>46215.565972222219</v>
      </c>
      <c r="F34" s="51">
        <v>7206.55</v>
      </c>
      <c r="G34" s="9" t="s">
        <v>11</v>
      </c>
      <c r="H34" s="9"/>
      <c r="I34" t="s">
        <v>1985</v>
      </c>
      <c r="J34" t="s">
        <v>1986</v>
      </c>
    </row>
    <row r="35" spans="1:10" x14ac:dyDescent="0.3">
      <c r="A35" t="s">
        <v>1978</v>
      </c>
      <c r="B35" t="s">
        <v>1979</v>
      </c>
      <c r="C35" s="8" t="s">
        <v>993</v>
      </c>
      <c r="D35" s="8" t="s">
        <v>994</v>
      </c>
      <c r="E35" s="19">
        <v>46266.420138888891</v>
      </c>
      <c r="F35" s="50">
        <v>42513.49</v>
      </c>
      <c r="G35" s="8" t="s">
        <v>11</v>
      </c>
      <c r="H35" s="8"/>
      <c r="I35" t="s">
        <v>1985</v>
      </c>
      <c r="J35" t="s">
        <v>1986</v>
      </c>
    </row>
    <row r="36" spans="1:10" x14ac:dyDescent="0.3">
      <c r="A36" t="s">
        <v>1978</v>
      </c>
      <c r="B36" t="s">
        <v>1979</v>
      </c>
      <c r="C36" s="9" t="s">
        <v>1022</v>
      </c>
      <c r="D36" s="9" t="s">
        <v>1023</v>
      </c>
      <c r="E36" s="20">
        <v>46292.955555555556</v>
      </c>
      <c r="F36" s="51">
        <v>27838.07</v>
      </c>
      <c r="G36" s="9" t="s">
        <v>111</v>
      </c>
      <c r="H36" s="9"/>
      <c r="I36" t="s">
        <v>1985</v>
      </c>
      <c r="J36" t="s">
        <v>1986</v>
      </c>
    </row>
    <row r="37" spans="1:10" x14ac:dyDescent="0.3">
      <c r="A37" t="s">
        <v>1978</v>
      </c>
      <c r="B37" t="s">
        <v>1979</v>
      </c>
      <c r="C37" s="8" t="s">
        <v>1030</v>
      </c>
      <c r="D37" s="8" t="s">
        <v>1031</v>
      </c>
      <c r="E37" s="19">
        <v>46247.946527777778</v>
      </c>
      <c r="F37" s="50">
        <v>57228.49</v>
      </c>
      <c r="G37" s="8" t="s">
        <v>11</v>
      </c>
      <c r="H37" s="8"/>
      <c r="I37" t="s">
        <v>1985</v>
      </c>
      <c r="J37" t="s">
        <v>1986</v>
      </c>
    </row>
    <row r="38" spans="1:10" x14ac:dyDescent="0.3">
      <c r="A38" t="s">
        <v>1978</v>
      </c>
      <c r="B38" t="s">
        <v>1979</v>
      </c>
      <c r="C38" s="9" t="s">
        <v>1041</v>
      </c>
      <c r="D38" s="9" t="s">
        <v>1042</v>
      </c>
      <c r="E38" s="20">
        <v>46204.479166666664</v>
      </c>
      <c r="F38" s="51">
        <v>6075.92</v>
      </c>
      <c r="G38" s="9" t="s">
        <v>11</v>
      </c>
      <c r="H38" s="9"/>
      <c r="I38" t="s">
        <v>1985</v>
      </c>
      <c r="J38" t="s">
        <v>1986</v>
      </c>
    </row>
    <row r="39" spans="1:10" x14ac:dyDescent="0.3">
      <c r="A39" t="s">
        <v>1978</v>
      </c>
      <c r="B39" t="s">
        <v>1979</v>
      </c>
      <c r="C39" s="8" t="s">
        <v>1046</v>
      </c>
      <c r="D39" s="8" t="s">
        <v>1047</v>
      </c>
      <c r="E39" s="19">
        <v>46217.557638888888</v>
      </c>
      <c r="F39" s="50">
        <v>66103.929999999993</v>
      </c>
      <c r="G39" s="8" t="s">
        <v>11</v>
      </c>
      <c r="H39" s="8"/>
      <c r="I39" t="s">
        <v>1985</v>
      </c>
      <c r="J39" t="s">
        <v>1986</v>
      </c>
    </row>
    <row r="40" spans="1:10" x14ac:dyDescent="0.3">
      <c r="A40" t="s">
        <v>1978</v>
      </c>
      <c r="B40" t="s">
        <v>1979</v>
      </c>
      <c r="C40" s="9" t="s">
        <v>1090</v>
      </c>
      <c r="D40" s="9" t="s">
        <v>1091</v>
      </c>
      <c r="E40" s="20">
        <v>46237.816666666666</v>
      </c>
      <c r="F40" s="51">
        <v>47158.080000000002</v>
      </c>
      <c r="G40" s="9" t="s">
        <v>11</v>
      </c>
      <c r="H40" s="9"/>
      <c r="I40" t="s">
        <v>1985</v>
      </c>
      <c r="J40" t="s">
        <v>1986</v>
      </c>
    </row>
    <row r="41" spans="1:10" x14ac:dyDescent="0.3">
      <c r="A41" t="s">
        <v>1978</v>
      </c>
      <c r="B41" t="s">
        <v>1979</v>
      </c>
      <c r="C41" s="8" t="s">
        <v>1122</v>
      </c>
      <c r="D41" s="8" t="s">
        <v>1123</v>
      </c>
      <c r="E41" s="19">
        <v>46262.795138888891</v>
      </c>
      <c r="F41" s="50">
        <v>43662.6</v>
      </c>
      <c r="G41" s="8" t="s">
        <v>11</v>
      </c>
      <c r="H41" s="8"/>
      <c r="I41" t="s">
        <v>1985</v>
      </c>
      <c r="J41" t="s">
        <v>1986</v>
      </c>
    </row>
    <row r="42" spans="1:10" x14ac:dyDescent="0.3">
      <c r="A42" t="s">
        <v>1978</v>
      </c>
      <c r="B42" t="s">
        <v>1979</v>
      </c>
      <c r="C42" s="9" t="s">
        <v>1133</v>
      </c>
      <c r="D42" s="9" t="s">
        <v>1134</v>
      </c>
      <c r="E42" s="20">
        <v>46237.879861111112</v>
      </c>
      <c r="F42" s="51">
        <v>7008.96</v>
      </c>
      <c r="G42" s="9" t="s">
        <v>11</v>
      </c>
      <c r="H42" s="9"/>
      <c r="I42" t="s">
        <v>1985</v>
      </c>
      <c r="J42" t="s">
        <v>1986</v>
      </c>
    </row>
    <row r="43" spans="1:10" x14ac:dyDescent="0.3">
      <c r="A43" t="s">
        <v>1978</v>
      </c>
      <c r="B43" t="s">
        <v>1979</v>
      </c>
      <c r="C43" s="8" t="s">
        <v>1203</v>
      </c>
      <c r="D43" s="8" t="s">
        <v>1204</v>
      </c>
      <c r="E43" s="19">
        <v>46230.488888888889</v>
      </c>
      <c r="F43" s="50">
        <v>5317.66</v>
      </c>
      <c r="G43" s="8" t="s">
        <v>11</v>
      </c>
      <c r="H43" s="8"/>
      <c r="I43" t="s">
        <v>1985</v>
      </c>
      <c r="J43" t="s">
        <v>1986</v>
      </c>
    </row>
    <row r="44" spans="1:10" x14ac:dyDescent="0.3">
      <c r="A44" t="s">
        <v>1978</v>
      </c>
      <c r="B44" t="s">
        <v>1979</v>
      </c>
      <c r="C44" s="9" t="s">
        <v>1262</v>
      </c>
      <c r="D44" s="9" t="s">
        <v>1263</v>
      </c>
      <c r="E44" s="20">
        <v>46208.428472222222</v>
      </c>
      <c r="F44" s="51">
        <v>30372.3</v>
      </c>
      <c r="G44" s="9" t="s">
        <v>11</v>
      </c>
      <c r="H44" s="9"/>
      <c r="I44" t="s">
        <v>1985</v>
      </c>
      <c r="J44" t="s">
        <v>1986</v>
      </c>
    </row>
    <row r="45" spans="1:10" x14ac:dyDescent="0.3">
      <c r="A45" t="s">
        <v>1978</v>
      </c>
      <c r="B45" t="s">
        <v>1979</v>
      </c>
      <c r="C45" s="8" t="s">
        <v>1273</v>
      </c>
      <c r="D45" s="8" t="s">
        <v>1274</v>
      </c>
      <c r="E45" s="19">
        <v>46266.856249999997</v>
      </c>
      <c r="F45" s="50">
        <v>65072.38</v>
      </c>
      <c r="G45" s="8" t="s">
        <v>11</v>
      </c>
      <c r="H45" s="8"/>
      <c r="I45" t="s">
        <v>1985</v>
      </c>
      <c r="J45" t="s">
        <v>1986</v>
      </c>
    </row>
    <row r="46" spans="1:10" x14ac:dyDescent="0.3">
      <c r="A46" t="s">
        <v>1978</v>
      </c>
      <c r="B46" t="s">
        <v>1979</v>
      </c>
      <c r="C46" s="9" t="s">
        <v>1332</v>
      </c>
      <c r="D46" s="9" t="s">
        <v>1333</v>
      </c>
      <c r="E46" s="20">
        <v>46214.63958333333</v>
      </c>
      <c r="F46" s="51">
        <v>47419.7</v>
      </c>
      <c r="G46" s="9" t="s">
        <v>11</v>
      </c>
      <c r="H46" s="9"/>
      <c r="I46" t="s">
        <v>1985</v>
      </c>
      <c r="J46" t="s">
        <v>1986</v>
      </c>
    </row>
    <row r="47" spans="1:10" x14ac:dyDescent="0.3">
      <c r="A47" t="s">
        <v>1978</v>
      </c>
      <c r="B47" t="s">
        <v>1979</v>
      </c>
      <c r="C47" s="8" t="s">
        <v>1392</v>
      </c>
      <c r="D47" s="8" t="s">
        <v>1393</v>
      </c>
      <c r="E47" s="19">
        <v>46276.769444444442</v>
      </c>
      <c r="F47" s="50">
        <v>13799.23</v>
      </c>
      <c r="G47" s="8" t="s">
        <v>11</v>
      </c>
      <c r="H47" s="8"/>
      <c r="I47" t="s">
        <v>1985</v>
      </c>
      <c r="J47" t="s">
        <v>1986</v>
      </c>
    </row>
    <row r="48" spans="1:10" x14ac:dyDescent="0.3">
      <c r="A48" t="s">
        <v>1978</v>
      </c>
      <c r="B48" t="s">
        <v>1979</v>
      </c>
      <c r="C48" s="9" t="s">
        <v>1409</v>
      </c>
      <c r="D48" s="9" t="s">
        <v>1410</v>
      </c>
      <c r="E48" s="20">
        <v>46239.355555555558</v>
      </c>
      <c r="F48" s="51">
        <v>16897.310000000001</v>
      </c>
      <c r="G48" s="9" t="s">
        <v>11</v>
      </c>
      <c r="H48" s="9"/>
      <c r="I48" t="s">
        <v>1985</v>
      </c>
      <c r="J48" t="s">
        <v>1986</v>
      </c>
    </row>
    <row r="49" spans="1:10" x14ac:dyDescent="0.3">
      <c r="A49" t="s">
        <v>1980</v>
      </c>
      <c r="B49" t="s">
        <v>1987</v>
      </c>
      <c r="C49" t="s">
        <v>284</v>
      </c>
      <c r="D49" t="s">
        <v>286</v>
      </c>
      <c r="E49" s="2">
        <v>46255.62777777778</v>
      </c>
      <c r="F49" s="52">
        <v>43382.33</v>
      </c>
      <c r="G49" t="s">
        <v>11</v>
      </c>
      <c r="H49" t="s">
        <v>285</v>
      </c>
      <c r="I49" t="s">
        <v>1985</v>
      </c>
      <c r="J49" s="3" t="s">
        <v>1988</v>
      </c>
    </row>
    <row r="50" spans="1:10" x14ac:dyDescent="0.3">
      <c r="A50" t="s">
        <v>1980</v>
      </c>
      <c r="B50" t="s">
        <v>1987</v>
      </c>
      <c r="C50" s="23" t="s">
        <v>976</v>
      </c>
      <c r="D50" t="s">
        <v>978</v>
      </c>
      <c r="E50" s="2">
        <v>46280.61041666667</v>
      </c>
      <c r="F50" s="52">
        <v>29592.66</v>
      </c>
      <c r="G50" t="s">
        <v>11</v>
      </c>
      <c r="H50" t="s">
        <v>977</v>
      </c>
      <c r="I50" t="s">
        <v>1985</v>
      </c>
      <c r="J50" s="3" t="s">
        <v>1988</v>
      </c>
    </row>
    <row r="51" spans="1:10" x14ac:dyDescent="0.3">
      <c r="A51" t="s">
        <v>1980</v>
      </c>
      <c r="B51" t="s">
        <v>1987</v>
      </c>
      <c r="C51" s="23" t="s">
        <v>995</v>
      </c>
      <c r="D51" t="s">
        <v>997</v>
      </c>
      <c r="E51" s="2">
        <v>46272.506944444445</v>
      </c>
      <c r="F51" s="52">
        <v>58610.33</v>
      </c>
      <c r="G51" t="s">
        <v>11</v>
      </c>
      <c r="H51" t="s">
        <v>996</v>
      </c>
      <c r="I51" t="s">
        <v>1985</v>
      </c>
      <c r="J51" s="3" t="s">
        <v>1988</v>
      </c>
    </row>
    <row r="52" spans="1:10" x14ac:dyDescent="0.3">
      <c r="A52" t="s">
        <v>1980</v>
      </c>
      <c r="B52" t="s">
        <v>1987</v>
      </c>
      <c r="C52" s="23" t="s">
        <v>1161</v>
      </c>
      <c r="D52" t="s">
        <v>1163</v>
      </c>
      <c r="E52" s="2">
        <v>46206.618055555555</v>
      </c>
      <c r="F52" s="52">
        <v>53574.46</v>
      </c>
      <c r="G52" t="s">
        <v>11</v>
      </c>
      <c r="H52" t="s">
        <v>1162</v>
      </c>
      <c r="I52" t="s">
        <v>1985</v>
      </c>
      <c r="J52" s="3" t="s">
        <v>1988</v>
      </c>
    </row>
    <row r="53" spans="1:10" x14ac:dyDescent="0.3">
      <c r="A53" t="s">
        <v>1980</v>
      </c>
      <c r="B53" t="s">
        <v>1987</v>
      </c>
      <c r="C53" s="23" t="s">
        <v>1352</v>
      </c>
      <c r="D53" t="s">
        <v>1354</v>
      </c>
      <c r="E53" s="2">
        <v>46255.343055555553</v>
      </c>
      <c r="F53" s="52">
        <v>17018.02</v>
      </c>
      <c r="G53" t="s">
        <v>36</v>
      </c>
      <c r="H53" t="s">
        <v>1353</v>
      </c>
      <c r="I53" t="s">
        <v>1985</v>
      </c>
      <c r="J53" s="3" t="s">
        <v>1988</v>
      </c>
    </row>
    <row r="54" spans="1:10" x14ac:dyDescent="0.3">
      <c r="A54" t="s">
        <v>1981</v>
      </c>
      <c r="B54" t="s">
        <v>1989</v>
      </c>
      <c r="C54" t="s">
        <v>99</v>
      </c>
      <c r="D54" t="s">
        <v>101</v>
      </c>
      <c r="E54" s="2">
        <v>46213.660416666666</v>
      </c>
      <c r="F54" s="52">
        <v>64635.85</v>
      </c>
      <c r="G54" t="s">
        <v>11</v>
      </c>
      <c r="H54" t="s">
        <v>100</v>
      </c>
      <c r="I54" t="s">
        <v>1985</v>
      </c>
      <c r="J54" s="3" t="s">
        <v>1990</v>
      </c>
    </row>
    <row r="55" spans="1:10" x14ac:dyDescent="0.3">
      <c r="A55" t="s">
        <v>1981</v>
      </c>
      <c r="B55" t="s">
        <v>1989</v>
      </c>
      <c r="C55" s="23" t="s">
        <v>242</v>
      </c>
      <c r="D55" t="s">
        <v>244</v>
      </c>
      <c r="E55" s="2">
        <v>46276.834722222222</v>
      </c>
      <c r="F55" s="52">
        <v>26203.48</v>
      </c>
      <c r="G55" t="s">
        <v>11</v>
      </c>
      <c r="H55" t="s">
        <v>243</v>
      </c>
      <c r="I55" t="s">
        <v>1985</v>
      </c>
      <c r="J55" s="3" t="s">
        <v>1990</v>
      </c>
    </row>
    <row r="56" spans="1:10" x14ac:dyDescent="0.3">
      <c r="A56" t="s">
        <v>1981</v>
      </c>
      <c r="B56" t="s">
        <v>1989</v>
      </c>
      <c r="C56" s="23" t="s">
        <v>445</v>
      </c>
      <c r="D56" t="s">
        <v>447</v>
      </c>
      <c r="E56" s="2">
        <v>46220.527083333334</v>
      </c>
      <c r="F56" s="52">
        <v>47572.49</v>
      </c>
      <c r="G56" t="s">
        <v>11</v>
      </c>
      <c r="H56" t="s">
        <v>446</v>
      </c>
      <c r="I56" t="s">
        <v>1985</v>
      </c>
      <c r="J56" s="3" t="s">
        <v>1990</v>
      </c>
    </row>
    <row r="57" spans="1:10" x14ac:dyDescent="0.3">
      <c r="A57" t="s">
        <v>1981</v>
      </c>
      <c r="B57" t="s">
        <v>1989</v>
      </c>
      <c r="C57" s="23" t="s">
        <v>504</v>
      </c>
      <c r="D57" t="s">
        <v>506</v>
      </c>
      <c r="E57" s="2">
        <v>46234.381249999999</v>
      </c>
      <c r="F57" s="52">
        <v>19383.62</v>
      </c>
      <c r="G57" t="s">
        <v>11</v>
      </c>
      <c r="H57" t="s">
        <v>505</v>
      </c>
      <c r="I57" t="s">
        <v>1985</v>
      </c>
      <c r="J57" s="3" t="s">
        <v>1990</v>
      </c>
    </row>
    <row r="58" spans="1:10" x14ac:dyDescent="0.3">
      <c r="A58" t="s">
        <v>1981</v>
      </c>
      <c r="B58" t="s">
        <v>1989</v>
      </c>
      <c r="C58" s="23" t="s">
        <v>570</v>
      </c>
      <c r="D58" t="s">
        <v>572</v>
      </c>
      <c r="E58" s="2">
        <v>46236.495138888888</v>
      </c>
      <c r="F58" s="52">
        <v>11426.59</v>
      </c>
      <c r="G58" t="s">
        <v>111</v>
      </c>
      <c r="H58" t="s">
        <v>571</v>
      </c>
      <c r="I58" t="s">
        <v>1985</v>
      </c>
      <c r="J58" s="3" t="s">
        <v>1990</v>
      </c>
    </row>
    <row r="59" spans="1:10" x14ac:dyDescent="0.3">
      <c r="A59" t="s">
        <v>1981</v>
      </c>
      <c r="B59" t="s">
        <v>1989</v>
      </c>
      <c r="C59" s="23" t="s">
        <v>587</v>
      </c>
      <c r="D59" t="s">
        <v>589</v>
      </c>
      <c r="E59" s="2">
        <v>46234.820833333331</v>
      </c>
      <c r="F59" s="52">
        <v>47212.21</v>
      </c>
      <c r="G59" t="s">
        <v>11</v>
      </c>
      <c r="H59" t="s">
        <v>588</v>
      </c>
      <c r="I59" t="s">
        <v>1985</v>
      </c>
      <c r="J59" s="3" t="s">
        <v>1990</v>
      </c>
    </row>
    <row r="60" spans="1:10" x14ac:dyDescent="0.3">
      <c r="A60" t="s">
        <v>1981</v>
      </c>
      <c r="B60" t="s">
        <v>1989</v>
      </c>
      <c r="C60" s="23" t="s">
        <v>659</v>
      </c>
      <c r="D60" t="s">
        <v>661</v>
      </c>
      <c r="E60" s="2">
        <v>46207.376388888886</v>
      </c>
      <c r="F60" s="52">
        <v>71153.88</v>
      </c>
      <c r="G60" t="s">
        <v>11</v>
      </c>
      <c r="H60" t="s">
        <v>660</v>
      </c>
      <c r="I60" t="s">
        <v>1985</v>
      </c>
      <c r="J60" s="3" t="s">
        <v>1990</v>
      </c>
    </row>
    <row r="61" spans="1:10" x14ac:dyDescent="0.3">
      <c r="A61" t="s">
        <v>1981</v>
      </c>
      <c r="B61" t="s">
        <v>1989</v>
      </c>
      <c r="C61" s="23" t="s">
        <v>746</v>
      </c>
      <c r="D61" t="s">
        <v>748</v>
      </c>
      <c r="E61" s="2">
        <v>46241.918055555558</v>
      </c>
      <c r="F61" s="52">
        <v>942.72</v>
      </c>
      <c r="G61" t="s">
        <v>11</v>
      </c>
      <c r="H61" t="s">
        <v>747</v>
      </c>
      <c r="I61" t="s">
        <v>1985</v>
      </c>
      <c r="J61" s="3" t="s">
        <v>1990</v>
      </c>
    </row>
    <row r="62" spans="1:10" x14ac:dyDescent="0.3">
      <c r="A62" t="s">
        <v>1981</v>
      </c>
      <c r="B62" t="s">
        <v>1989</v>
      </c>
      <c r="C62" s="23" t="s">
        <v>813</v>
      </c>
      <c r="D62" t="s">
        <v>815</v>
      </c>
      <c r="E62" s="2">
        <v>46288.676388888889</v>
      </c>
      <c r="F62" s="52">
        <v>31163.63</v>
      </c>
      <c r="G62" t="s">
        <v>11</v>
      </c>
      <c r="H62" t="s">
        <v>814</v>
      </c>
      <c r="I62" t="s">
        <v>1985</v>
      </c>
      <c r="J62" s="3" t="s">
        <v>1990</v>
      </c>
    </row>
    <row r="63" spans="1:10" x14ac:dyDescent="0.3">
      <c r="A63" t="s">
        <v>1981</v>
      </c>
      <c r="B63" t="s">
        <v>1989</v>
      </c>
      <c r="C63" s="23" t="s">
        <v>837</v>
      </c>
      <c r="D63" t="s">
        <v>839</v>
      </c>
      <c r="E63" s="2">
        <v>46235.818055555559</v>
      </c>
      <c r="F63" s="52">
        <v>52856.7</v>
      </c>
      <c r="G63" t="s">
        <v>11</v>
      </c>
      <c r="H63" t="s">
        <v>838</v>
      </c>
      <c r="I63" t="s">
        <v>1985</v>
      </c>
      <c r="J63" s="3" t="s">
        <v>1990</v>
      </c>
    </row>
    <row r="64" spans="1:10" x14ac:dyDescent="0.3">
      <c r="A64" t="s">
        <v>1981</v>
      </c>
      <c r="B64" t="s">
        <v>1989</v>
      </c>
      <c r="C64" s="23" t="s">
        <v>1024</v>
      </c>
      <c r="D64" t="s">
        <v>1026</v>
      </c>
      <c r="E64" s="2">
        <v>46262.779166666667</v>
      </c>
      <c r="F64" s="52">
        <v>52372.35</v>
      </c>
      <c r="G64" t="s">
        <v>11</v>
      </c>
      <c r="H64" t="s">
        <v>1025</v>
      </c>
      <c r="I64" t="s">
        <v>1985</v>
      </c>
      <c r="J64" s="3" t="s">
        <v>1990</v>
      </c>
    </row>
    <row r="65" spans="1:10" x14ac:dyDescent="0.3">
      <c r="A65" t="s">
        <v>1981</v>
      </c>
      <c r="B65" t="s">
        <v>1989</v>
      </c>
      <c r="C65" s="23" t="s">
        <v>1072</v>
      </c>
      <c r="D65" t="s">
        <v>1074</v>
      </c>
      <c r="E65" s="2">
        <v>46257.613888888889</v>
      </c>
      <c r="F65" s="52">
        <v>30320.240000000002</v>
      </c>
      <c r="G65" t="s">
        <v>11</v>
      </c>
      <c r="H65" t="s">
        <v>1073</v>
      </c>
      <c r="I65" t="s">
        <v>1985</v>
      </c>
      <c r="J65" s="3" t="s">
        <v>1990</v>
      </c>
    </row>
    <row r="66" spans="1:10" x14ac:dyDescent="0.3">
      <c r="A66" t="s">
        <v>1981</v>
      </c>
      <c r="B66" t="s">
        <v>1989</v>
      </c>
      <c r="C66" s="23" t="s">
        <v>1078</v>
      </c>
      <c r="D66" t="s">
        <v>1080</v>
      </c>
      <c r="E66" s="2">
        <v>46243.810416666667</v>
      </c>
      <c r="F66" s="52">
        <v>54814.39</v>
      </c>
      <c r="G66" t="s">
        <v>11</v>
      </c>
      <c r="H66" t="s">
        <v>1079</v>
      </c>
      <c r="I66" t="s">
        <v>1985</v>
      </c>
      <c r="J66" s="3" t="s">
        <v>1990</v>
      </c>
    </row>
    <row r="67" spans="1:10" x14ac:dyDescent="0.3">
      <c r="A67" t="s">
        <v>1981</v>
      </c>
      <c r="B67" t="s">
        <v>1989</v>
      </c>
      <c r="C67" s="23" t="s">
        <v>1101</v>
      </c>
      <c r="D67" t="s">
        <v>1103</v>
      </c>
      <c r="E67" s="2">
        <v>46257.948611111111</v>
      </c>
      <c r="F67" s="52">
        <v>24165.15</v>
      </c>
      <c r="G67" t="s">
        <v>11</v>
      </c>
      <c r="H67" t="s">
        <v>1102</v>
      </c>
      <c r="I67" t="s">
        <v>1985</v>
      </c>
      <c r="J67" s="3" t="s">
        <v>1990</v>
      </c>
    </row>
    <row r="68" spans="1:10" x14ac:dyDescent="0.3">
      <c r="A68" t="s">
        <v>1981</v>
      </c>
      <c r="B68" t="s">
        <v>1989</v>
      </c>
      <c r="C68" s="23" t="s">
        <v>1144</v>
      </c>
      <c r="D68" t="s">
        <v>1146</v>
      </c>
      <c r="E68" s="2">
        <v>46251.777777777781</v>
      </c>
      <c r="F68" s="52">
        <v>70333.72</v>
      </c>
      <c r="G68" t="s">
        <v>11</v>
      </c>
      <c r="H68" t="s">
        <v>1145</v>
      </c>
      <c r="I68" t="s">
        <v>1985</v>
      </c>
      <c r="J68" s="3" t="s">
        <v>1990</v>
      </c>
    </row>
    <row r="69" spans="1:10" x14ac:dyDescent="0.3">
      <c r="A69" t="s">
        <v>1981</v>
      </c>
      <c r="B69" t="s">
        <v>1989</v>
      </c>
      <c r="C69" s="23" t="s">
        <v>1167</v>
      </c>
      <c r="D69" t="s">
        <v>1169</v>
      </c>
      <c r="E69" s="2">
        <v>46211.854166666664</v>
      </c>
      <c r="F69" s="52">
        <v>39825.06</v>
      </c>
      <c r="G69" t="s">
        <v>11</v>
      </c>
      <c r="H69" t="s">
        <v>1168</v>
      </c>
      <c r="I69" t="s">
        <v>1985</v>
      </c>
      <c r="J69" s="3" t="s">
        <v>1990</v>
      </c>
    </row>
    <row r="70" spans="1:10" x14ac:dyDescent="0.3">
      <c r="A70" t="s">
        <v>1981</v>
      </c>
      <c r="B70" t="s">
        <v>1989</v>
      </c>
      <c r="C70" s="23" t="s">
        <v>1201</v>
      </c>
      <c r="D70" t="s">
        <v>124</v>
      </c>
      <c r="E70" s="2">
        <v>46248.548611111109</v>
      </c>
      <c r="F70" s="52">
        <v>47804.959999999999</v>
      </c>
      <c r="G70" t="s">
        <v>111</v>
      </c>
      <c r="H70" t="s">
        <v>1202</v>
      </c>
      <c r="I70" t="s">
        <v>1985</v>
      </c>
      <c r="J70" s="3" t="s">
        <v>1990</v>
      </c>
    </row>
    <row r="71" spans="1:10" x14ac:dyDescent="0.3">
      <c r="A71" t="s">
        <v>1981</v>
      </c>
      <c r="B71" t="s">
        <v>1989</v>
      </c>
      <c r="C71" s="23" t="s">
        <v>1217</v>
      </c>
      <c r="D71" t="s">
        <v>1219</v>
      </c>
      <c r="E71" s="2">
        <v>46224.337500000001</v>
      </c>
      <c r="F71" s="52">
        <v>24999.32</v>
      </c>
      <c r="G71" t="s">
        <v>36</v>
      </c>
      <c r="H71" t="s">
        <v>1218</v>
      </c>
      <c r="I71" t="s">
        <v>1985</v>
      </c>
      <c r="J71" s="3" t="s">
        <v>1990</v>
      </c>
    </row>
    <row r="72" spans="1:10" x14ac:dyDescent="0.3">
      <c r="A72" t="s">
        <v>1981</v>
      </c>
      <c r="B72" t="s">
        <v>1989</v>
      </c>
      <c r="C72" s="23" t="s">
        <v>1256</v>
      </c>
      <c r="D72" t="s">
        <v>1258</v>
      </c>
      <c r="E72" s="2">
        <v>46218.589583333334</v>
      </c>
      <c r="F72" s="52">
        <v>11327.93</v>
      </c>
      <c r="G72" t="s">
        <v>11</v>
      </c>
      <c r="H72" t="s">
        <v>1257</v>
      </c>
      <c r="I72" t="s">
        <v>1985</v>
      </c>
      <c r="J72" s="3" t="s">
        <v>1990</v>
      </c>
    </row>
    <row r="73" spans="1:10" x14ac:dyDescent="0.3">
      <c r="A73" t="s">
        <v>1981</v>
      </c>
      <c r="B73" t="s">
        <v>1989</v>
      </c>
      <c r="C73" s="23" t="s">
        <v>1264</v>
      </c>
      <c r="D73" t="s">
        <v>1266</v>
      </c>
      <c r="E73" s="2">
        <v>46292.460416666669</v>
      </c>
      <c r="F73" s="52">
        <v>55994.8</v>
      </c>
      <c r="G73" t="s">
        <v>111</v>
      </c>
      <c r="H73" t="s">
        <v>1265</v>
      </c>
      <c r="I73" t="s">
        <v>1985</v>
      </c>
      <c r="J73" s="3" t="s">
        <v>1990</v>
      </c>
    </row>
    <row r="74" spans="1:10" x14ac:dyDescent="0.3">
      <c r="A74" t="s">
        <v>1981</v>
      </c>
      <c r="B74" t="s">
        <v>1989</v>
      </c>
      <c r="C74" s="23" t="s">
        <v>1287</v>
      </c>
      <c r="D74" t="s">
        <v>1289</v>
      </c>
      <c r="E74" s="2">
        <v>46240.35</v>
      </c>
      <c r="F74" s="52">
        <v>3961.42</v>
      </c>
      <c r="G74" t="s">
        <v>11</v>
      </c>
      <c r="H74" t="s">
        <v>1288</v>
      </c>
      <c r="I74" t="s">
        <v>1985</v>
      </c>
      <c r="J74" s="3" t="s">
        <v>1990</v>
      </c>
    </row>
    <row r="75" spans="1:10" x14ac:dyDescent="0.3">
      <c r="A75" t="s">
        <v>1981</v>
      </c>
      <c r="B75" t="s">
        <v>1989</v>
      </c>
      <c r="C75" s="23" t="s">
        <v>1293</v>
      </c>
      <c r="D75" t="s">
        <v>1295</v>
      </c>
      <c r="E75" s="2">
        <v>46286.443055555559</v>
      </c>
      <c r="F75" s="52">
        <v>60114.64</v>
      </c>
      <c r="G75" t="s">
        <v>11</v>
      </c>
      <c r="H75" t="s">
        <v>1294</v>
      </c>
      <c r="I75" t="s">
        <v>1985</v>
      </c>
      <c r="J75" s="3" t="s">
        <v>1990</v>
      </c>
    </row>
    <row r="76" spans="1:10" x14ac:dyDescent="0.3">
      <c r="A76" t="s">
        <v>1981</v>
      </c>
      <c r="B76" t="s">
        <v>1989</v>
      </c>
      <c r="C76" s="23" t="s">
        <v>1299</v>
      </c>
      <c r="D76" t="s">
        <v>1301</v>
      </c>
      <c r="E76" s="2">
        <v>46283.609027777777</v>
      </c>
      <c r="F76" s="52">
        <v>7897.83</v>
      </c>
      <c r="G76" t="s">
        <v>11</v>
      </c>
      <c r="H76" t="s">
        <v>1300</v>
      </c>
      <c r="I76" t="s">
        <v>1985</v>
      </c>
      <c r="J76" s="3" t="s">
        <v>1990</v>
      </c>
    </row>
    <row r="77" spans="1:10" x14ac:dyDescent="0.3">
      <c r="A77" t="s">
        <v>1981</v>
      </c>
      <c r="B77" t="s">
        <v>1989</v>
      </c>
      <c r="C77" s="23" t="s">
        <v>1366</v>
      </c>
      <c r="D77" t="s">
        <v>1368</v>
      </c>
      <c r="E77" s="2">
        <v>46240.409722222219</v>
      </c>
      <c r="F77" s="52">
        <v>8193.2099999999991</v>
      </c>
      <c r="G77" t="s">
        <v>11</v>
      </c>
      <c r="H77" t="s">
        <v>1367</v>
      </c>
      <c r="I77" t="s">
        <v>1985</v>
      </c>
      <c r="J77" s="3" t="s">
        <v>1990</v>
      </c>
    </row>
    <row r="78" spans="1:10" x14ac:dyDescent="0.3">
      <c r="A78" t="s">
        <v>1981</v>
      </c>
      <c r="B78" t="s">
        <v>1989</v>
      </c>
      <c r="C78" s="23" t="s">
        <v>1459</v>
      </c>
      <c r="D78" t="s">
        <v>1461</v>
      </c>
      <c r="E78" s="2">
        <v>46289.341666666667</v>
      </c>
      <c r="F78" s="52">
        <v>20206.63</v>
      </c>
      <c r="G78" t="s">
        <v>11</v>
      </c>
      <c r="H78" t="s">
        <v>1460</v>
      </c>
      <c r="I78" t="s">
        <v>1985</v>
      </c>
      <c r="J78" s="3" t="s">
        <v>1990</v>
      </c>
    </row>
    <row r="79" spans="1:10" x14ac:dyDescent="0.3">
      <c r="A79" t="s">
        <v>1982</v>
      </c>
      <c r="B79" t="s">
        <v>1991</v>
      </c>
      <c r="C79" t="s">
        <v>62</v>
      </c>
      <c r="D79" t="s">
        <v>64</v>
      </c>
      <c r="E79" s="2">
        <v>46291.796527777777</v>
      </c>
      <c r="F79" s="52">
        <v>51207.85</v>
      </c>
      <c r="G79" t="s">
        <v>11</v>
      </c>
      <c r="H79" t="s">
        <v>63</v>
      </c>
      <c r="I79" t="s">
        <v>1985</v>
      </c>
      <c r="J79" s="3" t="s">
        <v>1992</v>
      </c>
    </row>
    <row r="80" spans="1:10" x14ac:dyDescent="0.3">
      <c r="A80" t="s">
        <v>1982</v>
      </c>
      <c r="B80" t="s">
        <v>1991</v>
      </c>
      <c r="C80" s="23" t="s">
        <v>108</v>
      </c>
      <c r="D80" t="s">
        <v>109</v>
      </c>
      <c r="E80" s="2">
        <v>46223.470833333333</v>
      </c>
      <c r="F80" s="52">
        <v>16523.14</v>
      </c>
      <c r="G80" t="s">
        <v>11</v>
      </c>
      <c r="I80" t="s">
        <v>1985</v>
      </c>
      <c r="J80" s="3" t="s">
        <v>1992</v>
      </c>
    </row>
    <row r="81" spans="1:10" x14ac:dyDescent="0.3">
      <c r="A81" t="s">
        <v>1982</v>
      </c>
      <c r="B81" t="s">
        <v>1991</v>
      </c>
      <c r="C81" s="23" t="s">
        <v>140</v>
      </c>
      <c r="D81" t="s">
        <v>141</v>
      </c>
      <c r="E81" s="2">
        <v>46224.811111111114</v>
      </c>
      <c r="F81" s="52">
        <v>41488.11</v>
      </c>
      <c r="G81" t="s">
        <v>11</v>
      </c>
      <c r="I81" t="s">
        <v>1985</v>
      </c>
      <c r="J81" s="3" t="s">
        <v>1992</v>
      </c>
    </row>
    <row r="82" spans="1:10" x14ac:dyDescent="0.3">
      <c r="A82" t="s">
        <v>1982</v>
      </c>
      <c r="B82" t="s">
        <v>1991</v>
      </c>
      <c r="C82" s="23" t="s">
        <v>239</v>
      </c>
      <c r="D82" t="s">
        <v>241</v>
      </c>
      <c r="E82" s="2">
        <v>46213.738888888889</v>
      </c>
      <c r="F82" s="52">
        <v>62335.23</v>
      </c>
      <c r="G82" t="s">
        <v>11</v>
      </c>
      <c r="H82" t="s">
        <v>240</v>
      </c>
      <c r="I82" t="s">
        <v>1985</v>
      </c>
      <c r="J82" s="3" t="s">
        <v>1992</v>
      </c>
    </row>
    <row r="83" spans="1:10" x14ac:dyDescent="0.3">
      <c r="A83" t="s">
        <v>1982</v>
      </c>
      <c r="B83" t="s">
        <v>1991</v>
      </c>
      <c r="C83" s="23" t="s">
        <v>360</v>
      </c>
      <c r="D83" t="s">
        <v>362</v>
      </c>
      <c r="E83" s="2">
        <v>46247.738888888889</v>
      </c>
      <c r="F83" s="52">
        <v>29961.88</v>
      </c>
      <c r="G83" t="s">
        <v>11</v>
      </c>
      <c r="H83" t="s">
        <v>361</v>
      </c>
      <c r="I83" t="s">
        <v>1985</v>
      </c>
      <c r="J83" s="3" t="s">
        <v>1992</v>
      </c>
    </row>
    <row r="84" spans="1:10" x14ac:dyDescent="0.3">
      <c r="A84" t="s">
        <v>1982</v>
      </c>
      <c r="B84" t="s">
        <v>1991</v>
      </c>
      <c r="C84" s="23" t="s">
        <v>783</v>
      </c>
      <c r="D84" t="s">
        <v>785</v>
      </c>
      <c r="E84" s="2">
        <v>46262.710416666669</v>
      </c>
      <c r="F84" s="52">
        <v>42020.09</v>
      </c>
      <c r="G84" t="s">
        <v>11</v>
      </c>
      <c r="H84" t="s">
        <v>784</v>
      </c>
      <c r="I84" t="s">
        <v>1985</v>
      </c>
      <c r="J84" s="3" t="s">
        <v>1992</v>
      </c>
    </row>
    <row r="85" spans="1:10" x14ac:dyDescent="0.3">
      <c r="A85" t="s">
        <v>1982</v>
      </c>
      <c r="B85" t="s">
        <v>1991</v>
      </c>
      <c r="C85" s="23" t="s">
        <v>898</v>
      </c>
      <c r="D85" t="s">
        <v>900</v>
      </c>
      <c r="E85" s="2">
        <v>46266.473611111112</v>
      </c>
      <c r="F85" s="52">
        <v>41589.57</v>
      </c>
      <c r="G85" t="s">
        <v>11</v>
      </c>
      <c r="H85" t="s">
        <v>899</v>
      </c>
      <c r="I85" t="s">
        <v>1985</v>
      </c>
      <c r="J85" s="3" t="s">
        <v>1992</v>
      </c>
    </row>
    <row r="86" spans="1:10" x14ac:dyDescent="0.3">
      <c r="A86" t="s">
        <v>1982</v>
      </c>
      <c r="B86" t="s">
        <v>1991</v>
      </c>
      <c r="C86" s="23" t="s">
        <v>923</v>
      </c>
      <c r="D86" t="s">
        <v>925</v>
      </c>
      <c r="E86" s="2">
        <v>46260.560416666667</v>
      </c>
      <c r="F86" s="52">
        <v>61206.79</v>
      </c>
      <c r="G86" t="s">
        <v>11</v>
      </c>
      <c r="H86" t="s">
        <v>924</v>
      </c>
      <c r="I86" t="s">
        <v>1985</v>
      </c>
      <c r="J86" s="3" t="s">
        <v>1992</v>
      </c>
    </row>
    <row r="87" spans="1:10" x14ac:dyDescent="0.3">
      <c r="A87" t="s">
        <v>1982</v>
      </c>
      <c r="B87" t="s">
        <v>1991</v>
      </c>
      <c r="C87" s="23" t="s">
        <v>962</v>
      </c>
      <c r="D87" t="s">
        <v>964</v>
      </c>
      <c r="E87" s="2">
        <v>46244.388194444444</v>
      </c>
      <c r="F87" s="52">
        <v>3590.06</v>
      </c>
      <c r="G87" t="s">
        <v>11</v>
      </c>
      <c r="H87" t="s">
        <v>963</v>
      </c>
      <c r="I87" t="s">
        <v>1985</v>
      </c>
      <c r="J87" s="3" t="s">
        <v>1992</v>
      </c>
    </row>
    <row r="88" spans="1:10" x14ac:dyDescent="0.3">
      <c r="A88" t="s">
        <v>1982</v>
      </c>
      <c r="B88" t="s">
        <v>1991</v>
      </c>
      <c r="C88" s="23" t="s">
        <v>1001</v>
      </c>
      <c r="D88" t="s">
        <v>1003</v>
      </c>
      <c r="E88" s="2">
        <v>46217.828472222223</v>
      </c>
      <c r="F88" s="52">
        <v>49111.96</v>
      </c>
      <c r="G88" t="s">
        <v>11</v>
      </c>
      <c r="H88" t="s">
        <v>1002</v>
      </c>
      <c r="I88" t="s">
        <v>1985</v>
      </c>
      <c r="J88" s="3" t="s">
        <v>1992</v>
      </c>
    </row>
    <row r="89" spans="1:10" x14ac:dyDescent="0.3">
      <c r="A89" t="s">
        <v>1982</v>
      </c>
      <c r="B89" t="s">
        <v>1991</v>
      </c>
      <c r="C89" s="23" t="s">
        <v>1069</v>
      </c>
      <c r="D89" t="s">
        <v>1071</v>
      </c>
      <c r="E89" s="2">
        <v>46206.711111111108</v>
      </c>
      <c r="F89" s="52">
        <v>1281.06</v>
      </c>
      <c r="G89" t="s">
        <v>11</v>
      </c>
      <c r="H89" t="s">
        <v>1070</v>
      </c>
      <c r="I89" t="s">
        <v>1985</v>
      </c>
      <c r="J89" s="3" t="s">
        <v>1992</v>
      </c>
    </row>
    <row r="90" spans="1:10" x14ac:dyDescent="0.3">
      <c r="A90" t="s">
        <v>1982</v>
      </c>
      <c r="B90" t="s">
        <v>1991</v>
      </c>
      <c r="C90" s="23" t="s">
        <v>1081</v>
      </c>
      <c r="D90" t="s">
        <v>1083</v>
      </c>
      <c r="E90" s="2">
        <v>46218.652083333334</v>
      </c>
      <c r="F90" s="52">
        <v>45760.22</v>
      </c>
      <c r="G90" t="s">
        <v>11</v>
      </c>
      <c r="H90" t="s">
        <v>1082</v>
      </c>
      <c r="I90" t="s">
        <v>1985</v>
      </c>
      <c r="J90" s="3" t="s">
        <v>1992</v>
      </c>
    </row>
    <row r="91" spans="1:10" x14ac:dyDescent="0.3">
      <c r="A91" t="s">
        <v>1982</v>
      </c>
      <c r="B91" t="s">
        <v>1991</v>
      </c>
      <c r="C91" s="23" t="s">
        <v>1090</v>
      </c>
      <c r="D91" t="s">
        <v>1091</v>
      </c>
      <c r="E91" s="2">
        <v>46237.816666666666</v>
      </c>
      <c r="F91" s="52">
        <v>47158.080000000002</v>
      </c>
      <c r="G91" t="s">
        <v>11</v>
      </c>
      <c r="I91" t="s">
        <v>1985</v>
      </c>
      <c r="J91" s="3" t="s">
        <v>1992</v>
      </c>
    </row>
    <row r="92" spans="1:10" x14ac:dyDescent="0.3">
      <c r="A92" t="s">
        <v>1983</v>
      </c>
      <c r="B92" t="s">
        <v>1993</v>
      </c>
      <c r="C92" s="23" t="s">
        <v>156</v>
      </c>
      <c r="D92" t="s">
        <v>158</v>
      </c>
      <c r="E92" s="2">
        <v>46232.362500000003</v>
      </c>
      <c r="F92" s="52">
        <v>14686.45</v>
      </c>
      <c r="G92" t="s">
        <v>11</v>
      </c>
      <c r="H92" t="s">
        <v>157</v>
      </c>
      <c r="I92" t="s">
        <v>1985</v>
      </c>
      <c r="J92" s="3" t="s">
        <v>1994</v>
      </c>
    </row>
    <row r="93" spans="1:10" x14ac:dyDescent="0.3">
      <c r="A93" t="s">
        <v>1983</v>
      </c>
      <c r="B93" t="s">
        <v>1993</v>
      </c>
      <c r="C93" s="23" t="s">
        <v>185</v>
      </c>
      <c r="D93" t="s">
        <v>187</v>
      </c>
      <c r="E93" s="2">
        <v>46222.334722222222</v>
      </c>
      <c r="F93" s="52">
        <v>18551.98</v>
      </c>
      <c r="G93" t="s">
        <v>11</v>
      </c>
      <c r="H93" t="s">
        <v>186</v>
      </c>
      <c r="I93" t="s">
        <v>1985</v>
      </c>
      <c r="J93" s="3" t="s">
        <v>1994</v>
      </c>
    </row>
    <row r="94" spans="1:10" x14ac:dyDescent="0.3">
      <c r="A94" t="s">
        <v>1983</v>
      </c>
      <c r="B94" t="s">
        <v>1993</v>
      </c>
      <c r="C94" s="23" t="s">
        <v>431</v>
      </c>
      <c r="D94" t="s">
        <v>432</v>
      </c>
      <c r="E94" s="2">
        <v>46220.677777777775</v>
      </c>
      <c r="F94" s="52">
        <v>59938.91</v>
      </c>
      <c r="G94" t="s">
        <v>11</v>
      </c>
      <c r="I94" t="s">
        <v>1985</v>
      </c>
      <c r="J94" s="3" t="s">
        <v>1994</v>
      </c>
    </row>
    <row r="95" spans="1:10" x14ac:dyDescent="0.3">
      <c r="A95" t="s">
        <v>1983</v>
      </c>
      <c r="B95" t="s">
        <v>1993</v>
      </c>
      <c r="C95" s="23" t="s">
        <v>501</v>
      </c>
      <c r="D95" t="s">
        <v>503</v>
      </c>
      <c r="E95" s="2">
        <v>46213.694444444445</v>
      </c>
      <c r="F95" s="52">
        <v>8773.49</v>
      </c>
      <c r="G95" t="s">
        <v>11</v>
      </c>
      <c r="H95" t="s">
        <v>502</v>
      </c>
      <c r="I95" t="s">
        <v>1985</v>
      </c>
      <c r="J95" s="3" t="s">
        <v>1994</v>
      </c>
    </row>
    <row r="96" spans="1:10" x14ac:dyDescent="0.3">
      <c r="A96" t="s">
        <v>1983</v>
      </c>
      <c r="B96" t="s">
        <v>1993</v>
      </c>
      <c r="C96" s="23" t="s">
        <v>562</v>
      </c>
      <c r="D96" t="s">
        <v>564</v>
      </c>
      <c r="E96" s="2">
        <v>46207.585416666669</v>
      </c>
      <c r="F96" s="52">
        <v>29884.93</v>
      </c>
      <c r="G96" t="s">
        <v>11</v>
      </c>
      <c r="H96" t="s">
        <v>563</v>
      </c>
      <c r="I96" t="s">
        <v>1985</v>
      </c>
      <c r="J96" s="3" t="s">
        <v>1994</v>
      </c>
    </row>
    <row r="97" spans="1:10" x14ac:dyDescent="0.3">
      <c r="A97" t="s">
        <v>1983</v>
      </c>
      <c r="B97" t="s">
        <v>1993</v>
      </c>
      <c r="C97" s="23" t="s">
        <v>623</v>
      </c>
      <c r="D97" t="s">
        <v>625</v>
      </c>
      <c r="E97" s="2">
        <v>46227.647916666669</v>
      </c>
      <c r="F97" s="52">
        <v>29177.31</v>
      </c>
      <c r="G97" t="s">
        <v>11</v>
      </c>
      <c r="H97" t="s">
        <v>624</v>
      </c>
      <c r="I97" t="s">
        <v>1985</v>
      </c>
      <c r="J97" s="3" t="s">
        <v>1994</v>
      </c>
    </row>
    <row r="98" spans="1:10" x14ac:dyDescent="0.3">
      <c r="A98" t="s">
        <v>1983</v>
      </c>
      <c r="B98" t="s">
        <v>1993</v>
      </c>
      <c r="C98" s="23" t="s">
        <v>659</v>
      </c>
      <c r="D98" t="s">
        <v>661</v>
      </c>
      <c r="E98" s="2">
        <v>46207.376388888886</v>
      </c>
      <c r="F98" s="52">
        <v>71153.88</v>
      </c>
      <c r="G98" t="s">
        <v>11</v>
      </c>
      <c r="H98" t="s">
        <v>660</v>
      </c>
      <c r="I98" t="s">
        <v>1985</v>
      </c>
      <c r="J98" s="3" t="s">
        <v>1994</v>
      </c>
    </row>
    <row r="99" spans="1:10" x14ac:dyDescent="0.3">
      <c r="A99" t="s">
        <v>1983</v>
      </c>
      <c r="B99" t="s">
        <v>1993</v>
      </c>
      <c r="C99" s="23" t="s">
        <v>825</v>
      </c>
      <c r="D99" t="s">
        <v>827</v>
      </c>
      <c r="E99" s="2">
        <v>46275.672222222223</v>
      </c>
      <c r="F99" s="52">
        <v>29284.32</v>
      </c>
      <c r="G99" t="s">
        <v>11</v>
      </c>
      <c r="H99" t="s">
        <v>826</v>
      </c>
      <c r="I99" t="s">
        <v>1985</v>
      </c>
      <c r="J99" s="3" t="s">
        <v>1994</v>
      </c>
    </row>
    <row r="100" spans="1:10" x14ac:dyDescent="0.3">
      <c r="A100" t="s">
        <v>1983</v>
      </c>
      <c r="B100" t="s">
        <v>1993</v>
      </c>
      <c r="C100" s="23" t="s">
        <v>1232</v>
      </c>
      <c r="D100" t="s">
        <v>1234</v>
      </c>
      <c r="E100" s="2">
        <v>46251.436111111114</v>
      </c>
      <c r="F100" s="52">
        <v>3585.12</v>
      </c>
      <c r="G100" t="s">
        <v>11</v>
      </c>
      <c r="H100" t="s">
        <v>1233</v>
      </c>
      <c r="I100" t="s">
        <v>1985</v>
      </c>
      <c r="J100" s="3" t="s">
        <v>1994</v>
      </c>
    </row>
    <row r="101" spans="1:10" x14ac:dyDescent="0.3">
      <c r="A101" t="s">
        <v>1983</v>
      </c>
      <c r="B101" t="s">
        <v>1993</v>
      </c>
      <c r="C101" s="23" t="s">
        <v>1267</v>
      </c>
      <c r="D101" t="s">
        <v>1269</v>
      </c>
      <c r="E101" s="2">
        <v>46243.536805555559</v>
      </c>
      <c r="F101" s="52">
        <v>36998.54</v>
      </c>
      <c r="G101" t="s">
        <v>11</v>
      </c>
      <c r="H101" t="s">
        <v>1268</v>
      </c>
      <c r="I101" t="s">
        <v>1985</v>
      </c>
      <c r="J101" s="3" t="s">
        <v>1994</v>
      </c>
    </row>
    <row r="102" spans="1:10" x14ac:dyDescent="0.3">
      <c r="A102" t="s">
        <v>1984</v>
      </c>
      <c r="B102" t="s">
        <v>2002</v>
      </c>
      <c r="C102" t="s">
        <v>1900</v>
      </c>
      <c r="D102" s="23"/>
      <c r="E102" s="24"/>
      <c r="F102" s="52">
        <v>12715.83</v>
      </c>
      <c r="G102" s="23"/>
      <c r="H102" s="23"/>
      <c r="I102" t="s">
        <v>1985</v>
      </c>
      <c r="J102" s="3" t="s">
        <v>2003</v>
      </c>
    </row>
    <row r="103" spans="1:10" x14ac:dyDescent="0.3">
      <c r="A103" t="s">
        <v>1984</v>
      </c>
      <c r="B103" t="s">
        <v>2002</v>
      </c>
      <c r="C103" t="s">
        <v>1902</v>
      </c>
      <c r="D103" s="9"/>
      <c r="E103" s="20"/>
      <c r="F103" s="52">
        <v>18021.57</v>
      </c>
      <c r="G103" s="9"/>
      <c r="H103" s="9"/>
      <c r="I103" t="s">
        <v>1985</v>
      </c>
      <c r="J103" s="3" t="s">
        <v>2003</v>
      </c>
    </row>
    <row r="104" spans="1:10" x14ac:dyDescent="0.3">
      <c r="A104" t="s">
        <v>1984</v>
      </c>
      <c r="B104" t="s">
        <v>2002</v>
      </c>
      <c r="C104" t="s">
        <v>1904</v>
      </c>
      <c r="D104" s="9"/>
      <c r="E104" s="20"/>
      <c r="F104" s="52">
        <v>568.89</v>
      </c>
      <c r="G104" s="9"/>
      <c r="H104" s="9"/>
      <c r="I104" t="s">
        <v>1985</v>
      </c>
      <c r="J104" s="3" t="s">
        <v>2003</v>
      </c>
    </row>
    <row r="105" spans="1:10" x14ac:dyDescent="0.3">
      <c r="A105" t="s">
        <v>1984</v>
      </c>
      <c r="B105" t="s">
        <v>2002</v>
      </c>
      <c r="C105" t="s">
        <v>1906</v>
      </c>
      <c r="D105" s="9"/>
      <c r="E105" s="20"/>
      <c r="F105" s="52">
        <v>738.05</v>
      </c>
      <c r="G105" s="9"/>
      <c r="H105" s="9"/>
      <c r="I105" t="s">
        <v>1985</v>
      </c>
      <c r="J105" s="3" t="s">
        <v>2003</v>
      </c>
    </row>
    <row r="106" spans="1:10" x14ac:dyDescent="0.3">
      <c r="A106" t="s">
        <v>1984</v>
      </c>
      <c r="B106" t="s">
        <v>2002</v>
      </c>
      <c r="C106" t="s">
        <v>1908</v>
      </c>
      <c r="D106" s="23"/>
      <c r="E106" s="24"/>
      <c r="F106" s="52">
        <v>17180.52</v>
      </c>
      <c r="G106" s="23"/>
      <c r="H106" s="23"/>
      <c r="I106" t="s">
        <v>1985</v>
      </c>
      <c r="J106" s="3" t="s">
        <v>2003</v>
      </c>
    </row>
    <row r="107" spans="1:10" x14ac:dyDescent="0.3">
      <c r="A107" t="s">
        <v>2037</v>
      </c>
      <c r="B107" t="s">
        <v>2038</v>
      </c>
      <c r="C107" s="23" t="s">
        <v>150</v>
      </c>
      <c r="D107" s="23" t="s">
        <v>152</v>
      </c>
      <c r="E107" s="24">
        <v>46226.832638888889</v>
      </c>
      <c r="F107" s="117">
        <v>25080.86</v>
      </c>
      <c r="G107" s="23" t="s">
        <v>111</v>
      </c>
      <c r="H107" s="23" t="s">
        <v>151</v>
      </c>
      <c r="I107" t="s">
        <v>1985</v>
      </c>
      <c r="J107" t="s">
        <v>2039</v>
      </c>
    </row>
    <row r="108" spans="1:10" x14ac:dyDescent="0.3">
      <c r="A108" t="s">
        <v>2037</v>
      </c>
      <c r="B108" t="s">
        <v>2038</v>
      </c>
      <c r="C108" s="23" t="s">
        <v>1465</v>
      </c>
      <c r="D108" s="23" t="s">
        <v>152</v>
      </c>
      <c r="E108" s="24">
        <v>46226.834027777775</v>
      </c>
      <c r="F108" s="117">
        <v>25080.86</v>
      </c>
      <c r="G108" s="23" t="s">
        <v>111</v>
      </c>
      <c r="H108" s="23" t="s">
        <v>151</v>
      </c>
      <c r="I108" t="s">
        <v>1985</v>
      </c>
      <c r="J108" t="s">
        <v>2040</v>
      </c>
    </row>
  </sheetData>
  <mergeCells count="2">
    <mergeCell ref="G1:J2"/>
    <mergeCell ref="A1:E2"/>
  </mergeCells>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F699-BF84-49C4-BA23-233CAD1FB9E0}">
  <sheetPr>
    <pageSetUpPr autoPageBreaks="0"/>
  </sheetPr>
  <dimension ref="A1:K25"/>
  <sheetViews>
    <sheetView showGridLines="0" zoomScale="110" zoomScaleNormal="110" workbookViewId="0">
      <selection activeCell="I7" sqref="I7"/>
    </sheetView>
  </sheetViews>
  <sheetFormatPr defaultRowHeight="14.4" x14ac:dyDescent="0.3"/>
  <cols>
    <col min="1" max="1" width="1.77734375" customWidth="1"/>
    <col min="2" max="2" width="35.77734375" customWidth="1"/>
    <col min="3" max="3" width="3" customWidth="1"/>
    <col min="4" max="4" width="35.77734375" customWidth="1"/>
    <col min="5" max="5" width="11.6640625" customWidth="1"/>
    <col min="6" max="6" width="10.88671875" customWidth="1"/>
  </cols>
  <sheetData>
    <row r="1" spans="1:11" ht="34.950000000000003" customHeight="1" x14ac:dyDescent="0.3">
      <c r="B1" s="156" t="s">
        <v>2005</v>
      </c>
      <c r="C1" s="156"/>
      <c r="D1" s="156"/>
      <c r="E1" s="156"/>
      <c r="F1" s="156"/>
      <c r="G1" s="156"/>
      <c r="H1" s="156"/>
      <c r="I1" s="156"/>
      <c r="J1" s="25"/>
      <c r="K1" s="25"/>
    </row>
    <row r="2" spans="1:11" ht="19.2" customHeight="1" x14ac:dyDescent="0.3">
      <c r="B2" s="157" t="s">
        <v>2006</v>
      </c>
      <c r="C2" s="157"/>
      <c r="D2" s="157"/>
      <c r="E2" s="157"/>
      <c r="F2" s="157"/>
      <c r="G2" s="157"/>
      <c r="H2" s="157"/>
      <c r="I2" s="157"/>
      <c r="J2" s="26"/>
      <c r="K2" s="26"/>
    </row>
    <row r="3" spans="1:11" ht="10.050000000000001" customHeight="1" x14ac:dyDescent="0.3">
      <c r="B3" s="27"/>
      <c r="C3" s="27"/>
      <c r="D3" s="27"/>
      <c r="E3" s="27"/>
      <c r="F3" s="27"/>
      <c r="G3" s="27"/>
      <c r="H3" s="27"/>
      <c r="I3" s="27"/>
      <c r="J3" s="26"/>
      <c r="K3" s="26"/>
    </row>
    <row r="4" spans="1:11" ht="18" x14ac:dyDescent="0.3">
      <c r="B4" s="164" t="s">
        <v>2011</v>
      </c>
      <c r="C4" s="164"/>
      <c r="D4" s="164"/>
      <c r="E4" s="164"/>
      <c r="F4" s="164"/>
      <c r="G4" s="164"/>
      <c r="H4" s="164"/>
      <c r="I4" s="164"/>
      <c r="J4" s="26"/>
      <c r="K4" s="26"/>
    </row>
    <row r="5" spans="1:11" ht="13.8" customHeight="1" thickBot="1" x14ac:dyDescent="0.35">
      <c r="B5" s="35"/>
    </row>
    <row r="6" spans="1:11" ht="25.05" customHeight="1" x14ac:dyDescent="0.3">
      <c r="A6" s="32"/>
      <c r="B6" s="37" t="s">
        <v>2007</v>
      </c>
      <c r="C6" s="34"/>
      <c r="D6" s="40" t="s">
        <v>2008</v>
      </c>
      <c r="E6" s="38"/>
    </row>
    <row r="7" spans="1:11" ht="40.049999999999997" customHeight="1" thickBot="1" x14ac:dyDescent="0.35">
      <c r="B7" s="36">
        <f>COUNTA(tblTransactions[TransactionID])</f>
        <v>501</v>
      </c>
      <c r="C7" s="31"/>
      <c r="D7" s="39">
        <f>COUNTIF(tblTransactions[TransactionStatus], "Success")</f>
        <v>433</v>
      </c>
      <c r="E7" s="33"/>
    </row>
    <row r="8" spans="1:11" ht="15" thickBot="1" x14ac:dyDescent="0.35">
      <c r="B8" s="28"/>
      <c r="C8" s="28"/>
      <c r="D8" s="29"/>
      <c r="E8" s="28"/>
    </row>
    <row r="9" spans="1:11" ht="25.05" customHeight="1" x14ac:dyDescent="0.3">
      <c r="A9" s="48"/>
      <c r="B9" s="42" t="s">
        <v>2009</v>
      </c>
      <c r="C9" s="41"/>
      <c r="D9" s="47" t="s">
        <v>2010</v>
      </c>
      <c r="E9" s="44"/>
    </row>
    <row r="10" spans="1:11" ht="40.049999999999997" customHeight="1" thickBot="1" x14ac:dyDescent="0.35">
      <c r="A10" s="48"/>
      <c r="B10" s="43">
        <f>COUNTA(tblExceptionDetails[RuleID])</f>
        <v>104</v>
      </c>
      <c r="C10" s="34"/>
      <c r="D10" s="46">
        <f>COUNTIF(tblExceptionDetails[RuleID], "R6")</f>
        <v>10</v>
      </c>
      <c r="E10" s="44"/>
    </row>
    <row r="11" spans="1:11" x14ac:dyDescent="0.3">
      <c r="B11" s="30"/>
      <c r="D11" s="45"/>
    </row>
    <row r="13" spans="1:11" ht="18" x14ac:dyDescent="0.3">
      <c r="B13" s="165" t="s">
        <v>2012</v>
      </c>
      <c r="C13" s="165"/>
      <c r="D13" s="165"/>
      <c r="E13" s="165"/>
      <c r="F13" s="165"/>
    </row>
    <row r="14" spans="1:11" ht="22.8" customHeight="1" x14ac:dyDescent="0.3">
      <c r="B14" s="53" t="s">
        <v>1976</v>
      </c>
      <c r="C14" s="166" t="s">
        <v>1975</v>
      </c>
      <c r="D14" s="166"/>
      <c r="E14" s="53" t="s">
        <v>1468</v>
      </c>
      <c r="F14" s="53" t="s">
        <v>2013</v>
      </c>
    </row>
    <row r="15" spans="1:11" x14ac:dyDescent="0.3">
      <c r="B15" s="56" t="s">
        <v>2037</v>
      </c>
      <c r="C15" s="168" t="s">
        <v>2041</v>
      </c>
      <c r="D15" s="168"/>
      <c r="E15" s="56">
        <f>COUNTIF(tblExceptionDetails[RuleID],B15)</f>
        <v>2</v>
      </c>
      <c r="F15" s="57">
        <f>E15/SUM($E$15:$E$21)</f>
        <v>1.9230769230769232E-2</v>
      </c>
    </row>
    <row r="16" spans="1:11" x14ac:dyDescent="0.3">
      <c r="B16" s="54" t="s">
        <v>1978</v>
      </c>
      <c r="C16" s="167" t="s">
        <v>2014</v>
      </c>
      <c r="D16" s="167"/>
      <c r="E16" s="54">
        <f>COUNTIF(tblExceptionDetails[RuleID],B16)</f>
        <v>44</v>
      </c>
      <c r="F16" s="55">
        <f t="shared" ref="F16:F21" si="0">E16/SUM($E$15:$E$21)</f>
        <v>0.42307692307692307</v>
      </c>
    </row>
    <row r="17" spans="2:9" x14ac:dyDescent="0.3">
      <c r="B17" s="56" t="s">
        <v>1980</v>
      </c>
      <c r="C17" s="168" t="s">
        <v>1987</v>
      </c>
      <c r="D17" s="168"/>
      <c r="E17" s="56">
        <f>COUNTIF(tblExceptionDetails[RuleID],B17)</f>
        <v>5</v>
      </c>
      <c r="F17" s="57">
        <f t="shared" si="0"/>
        <v>4.807692307692308E-2</v>
      </c>
    </row>
    <row r="18" spans="2:9" x14ac:dyDescent="0.3">
      <c r="B18" s="54" t="s">
        <v>1981</v>
      </c>
      <c r="C18" s="167" t="s">
        <v>1989</v>
      </c>
      <c r="D18" s="167"/>
      <c r="E18" s="54">
        <f>COUNTIF(tblExceptionDetails[RuleID],B18)</f>
        <v>25</v>
      </c>
      <c r="F18" s="55">
        <f t="shared" si="0"/>
        <v>0.24038461538461539</v>
      </c>
    </row>
    <row r="19" spans="2:9" x14ac:dyDescent="0.3">
      <c r="B19" s="56" t="s">
        <v>1982</v>
      </c>
      <c r="C19" s="168" t="s">
        <v>1991</v>
      </c>
      <c r="D19" s="168"/>
      <c r="E19" s="56">
        <f>COUNTIF(tblExceptionDetails[RuleID],B19)</f>
        <v>13</v>
      </c>
      <c r="F19" s="57">
        <f t="shared" si="0"/>
        <v>0.125</v>
      </c>
    </row>
    <row r="20" spans="2:9" x14ac:dyDescent="0.3">
      <c r="B20" s="54" t="s">
        <v>1983</v>
      </c>
      <c r="C20" s="167" t="s">
        <v>1993</v>
      </c>
      <c r="D20" s="167"/>
      <c r="E20" s="54">
        <f>COUNTIF(tblExceptionDetails[RuleID],B20)</f>
        <v>10</v>
      </c>
      <c r="F20" s="55">
        <f t="shared" si="0"/>
        <v>9.6153846153846159E-2</v>
      </c>
    </row>
    <row r="21" spans="2:9" ht="15" thickBot="1" x14ac:dyDescent="0.35">
      <c r="B21" s="58" t="s">
        <v>1984</v>
      </c>
      <c r="C21" s="169" t="s">
        <v>2002</v>
      </c>
      <c r="D21" s="169"/>
      <c r="E21" s="58">
        <f>COUNTIF(tblExceptionDetails[RuleID],B21)</f>
        <v>5</v>
      </c>
      <c r="F21" s="57">
        <f t="shared" si="0"/>
        <v>4.807692307692308E-2</v>
      </c>
    </row>
    <row r="22" spans="2:9" x14ac:dyDescent="0.3">
      <c r="B22" s="59"/>
      <c r="C22" s="170" t="s">
        <v>2015</v>
      </c>
      <c r="D22" s="170"/>
      <c r="E22" s="60">
        <f>SUM(E15:E21)</f>
        <v>104</v>
      </c>
      <c r="F22" s="61">
        <f>SUM(F15:F21)</f>
        <v>1</v>
      </c>
    </row>
    <row r="23" spans="2:9" ht="15" thickBot="1" x14ac:dyDescent="0.35"/>
    <row r="24" spans="2:9" x14ac:dyDescent="0.3">
      <c r="B24" s="158" t="s">
        <v>2042</v>
      </c>
      <c r="C24" s="159"/>
      <c r="D24" s="159"/>
      <c r="E24" s="159"/>
      <c r="F24" s="159"/>
      <c r="G24" s="159"/>
      <c r="H24" s="159"/>
      <c r="I24" s="160"/>
    </row>
    <row r="25" spans="2:9" ht="15" thickBot="1" x14ac:dyDescent="0.35">
      <c r="B25" s="161"/>
      <c r="C25" s="162"/>
      <c r="D25" s="162"/>
      <c r="E25" s="162"/>
      <c r="F25" s="162"/>
      <c r="G25" s="162"/>
      <c r="H25" s="162"/>
      <c r="I25" s="163"/>
    </row>
  </sheetData>
  <mergeCells count="14">
    <mergeCell ref="B1:I1"/>
    <mergeCell ref="B2:I2"/>
    <mergeCell ref="B24:I25"/>
    <mergeCell ref="B4:I4"/>
    <mergeCell ref="B13:F13"/>
    <mergeCell ref="C14:D14"/>
    <mergeCell ref="C16:D16"/>
    <mergeCell ref="C17:D17"/>
    <mergeCell ref="C18:D18"/>
    <mergeCell ref="C19:D19"/>
    <mergeCell ref="C20:D20"/>
    <mergeCell ref="C21:D21"/>
    <mergeCell ref="C22:D22"/>
    <mergeCell ref="C15:D1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Documentation</vt:lpstr>
      <vt:lpstr>1.Transactions</vt:lpstr>
      <vt:lpstr>2.SettlementLedger</vt:lpstr>
      <vt:lpstr>3.Approvals</vt:lpstr>
      <vt:lpstr>4.Data_Quality_Checks</vt:lpstr>
      <vt:lpstr>5.Exception_Details</vt:lpstr>
      <vt:lpstr>6.Excel_Summary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AGARWAL</dc:creator>
  <cp:lastModifiedBy>ANSHU AGARWAL</cp:lastModifiedBy>
  <dcterms:created xsi:type="dcterms:W3CDTF">2015-06-05T18:17:20Z</dcterms:created>
  <dcterms:modified xsi:type="dcterms:W3CDTF">2026-10-27T15:08:10Z</dcterms:modified>
</cp:coreProperties>
</file>